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aolivo/Documents/Product-Service Development/BHC Assesstemnt/Admin/"/>
    </mc:Choice>
  </mc:AlternateContent>
  <xr:revisionPtr revIDLastSave="0" documentId="8_{9D660E90-D967-8C47-8D90-F46D4C7FC30E}" xr6:coauthVersionLast="45" xr6:coauthVersionMax="45" xr10:uidLastSave="{00000000-0000-0000-0000-000000000000}"/>
  <bookViews>
    <workbookView xWindow="0" yWindow="460" windowWidth="29040" windowHeight="15840" xr2:uid="{236B8125-C1D7-4963-B733-682FE367243A}"/>
  </bookViews>
  <sheets>
    <sheet name="Questions" sheetId="3" r:id="rId1"/>
    <sheet name="For Access" sheetId="2" r:id="rId2"/>
  </sheets>
  <definedNames>
    <definedName name="_xlnm._FilterDatabase" localSheetId="0" hidden="1">Questions!$A$1:$E$258</definedName>
    <definedName name="HSum02">Questions!$E$33</definedName>
    <definedName name="HSum03">Questions!$E$40</definedName>
    <definedName name="HSum04">Questions!$E$49</definedName>
    <definedName name="HSum05">Questions!$E$56</definedName>
    <definedName name="HSum06">Questions!$E$74</definedName>
    <definedName name="HSum07">Questions!$E$85</definedName>
    <definedName name="HSum08">Questions!$E$95</definedName>
    <definedName name="Hsum09">Questions!$E$103</definedName>
    <definedName name="HSum10">Questions!$E$113</definedName>
    <definedName name="HSum11">Questions!$E$121</definedName>
    <definedName name="HSum12">Questions!$E$137</definedName>
    <definedName name="HSum13">Questions!$E$148</definedName>
    <definedName name="HSum14">Questions!$E$162</definedName>
    <definedName name="HSum15">Questions!$E$181</definedName>
    <definedName name="HSum16">Questions!$E$202</definedName>
    <definedName name="HSum17">Questions!$E$209</definedName>
    <definedName name="HSum18">Questions!$E$216</definedName>
    <definedName name="HSum19">Questions!$E$234</definedName>
    <definedName name="HSum20">Questions!$E$249</definedName>
    <definedName name="HSum21">Questions!$E$258</definedName>
    <definedName name="LSUM02">Questions!$D$33</definedName>
    <definedName name="LSum03">Questions!$D$40</definedName>
    <definedName name="LSum04">Questions!$D$49</definedName>
    <definedName name="LSum05">Questions!$D$56</definedName>
    <definedName name="LSum06">Questions!$D$74</definedName>
    <definedName name="LSum07">Questions!$D$85</definedName>
    <definedName name="LSum08">Questions!$D$95</definedName>
    <definedName name="LSum09">Questions!$D$103</definedName>
    <definedName name="LSum10">Questions!$D$113</definedName>
    <definedName name="LSum11">Questions!$D$121</definedName>
    <definedName name="LSum12">Questions!$D$137</definedName>
    <definedName name="LSum13">Questions!$D$148</definedName>
    <definedName name="LSum14">Questions!$D$162</definedName>
    <definedName name="LSum15">Questions!$D$181</definedName>
    <definedName name="LSum16">Questions!$D$202</definedName>
    <definedName name="LSum17">Questions!$D$209</definedName>
    <definedName name="LSum18">Questions!$D$216</definedName>
    <definedName name="Lsum19">Questions!$D$234</definedName>
    <definedName name="LSUM2">Questions!$D$33</definedName>
    <definedName name="LSum20">Questions!$D$249</definedName>
    <definedName name="LSum21">Questions!$D$258</definedName>
    <definedName name="LSum3">Questions!$D$40</definedName>
    <definedName name="LSum7">Questions!$D$85</definedName>
    <definedName name="LSum8">Questions!$D$95</definedName>
    <definedName name="LSum9">Questions!$D$103</definedName>
    <definedName name="Z_02368DA2_9F6E_4109_9128_9A49EDAB5227_.wvu.FilterData" localSheetId="0" hidden="1">Questions!$A$1:$E$258</definedName>
    <definedName name="Z_20D2FE1A_A466_4066_826D_3DFB3FF9E899_.wvu.Cols" localSheetId="0" hidden="1">Questions!$K:$L</definedName>
    <definedName name="Z_20D2FE1A_A466_4066_826D_3DFB3FF9E899_.wvu.FilterData" localSheetId="0" hidden="1">Questions!$A$1:$E$258</definedName>
    <definedName name="Z_20D2FE1A_A466_4066_826D_3DFB3FF9E899_.wvu.Rows" localSheetId="0" hidden="1">Questions!$1:$259</definedName>
    <definedName name="Z_F1373BF7_1887_494A_9776_BF1A95E2AFBD_.wvu.FilterData" localSheetId="0" hidden="1">Questions!$A$1:$E$258</definedName>
    <definedName name="Z_F1373BF7_1887_494A_9776_BF1A95E2AFBD_.wvu.Rows" localSheetId="0" hidden="1">Questions!$2:$19,Questions!$21:$32,Questions!$35:$39,Questions!$42:$48,Questions!$51:$55,Questions!$58:$73,Questions!$76:$84,Questions!$87:$94,Questions!$97:$102,Questions!$105:$112,Questions!$115:$120,Questions!$123:$136,Questions!$139:$147,Questions!$150:$161,Questions!$164:$180,Questions!$183:$201,Questions!$204:$208,Questions!$211:$215,Questions!$218:$233,Questions!$236:$248,Questions!$251:$257</definedName>
  </definedNames>
  <calcPr calcId="191029"/>
  <customWorkbookViews>
    <customWorkbookView name="Full" guid="{02368DA2-9F6E-4109-9128-9A49EDAB5227}" maximized="1" xWindow="-8" yWindow="-8" windowWidth="1936" windowHeight="1056" activeSheetId="3"/>
    <customWorkbookView name="SectionSummaries21" guid="{F1373BF7-1887-494A-9776-BF1A95E2AFBD}" maximized="1" xWindow="-8" yWindow="-8" windowWidth="1936" windowHeight="1056" activeSheetId="3"/>
    <customWorkbookView name="Ranges" guid="{20D2FE1A-A466-4066-826D-3DFB3FF9E899}" maximized="1" xWindow="-8" yWindow="-8" windowWidth="1936" windowHeight="1056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1" i="3" l="1"/>
  <c r="L261" i="3" s="1"/>
  <c r="K262" i="3"/>
  <c r="H262" i="3" s="1"/>
  <c r="L262" i="3"/>
  <c r="K263" i="3"/>
  <c r="L263" i="3" s="1"/>
  <c r="K264" i="3"/>
  <c r="L264" i="3"/>
  <c r="K265" i="3"/>
  <c r="L265" i="3" s="1"/>
  <c r="H264" i="3"/>
  <c r="H263" i="3" l="1"/>
  <c r="I263" i="3"/>
  <c r="H261" i="3"/>
  <c r="J262" i="3"/>
  <c r="J263" i="3"/>
  <c r="H265" i="3"/>
  <c r="J261" i="3"/>
  <c r="J265" i="3"/>
  <c r="I264" i="3" l="1"/>
  <c r="J264" i="3"/>
  <c r="I261" i="3"/>
  <c r="I262" i="3"/>
  <c r="I265" i="3"/>
  <c r="D40" i="3"/>
  <c r="D49" i="3"/>
  <c r="D56" i="3"/>
  <c r="D74" i="3"/>
  <c r="D85" i="3"/>
  <c r="D95" i="3"/>
  <c r="D103" i="3"/>
  <c r="D113" i="3"/>
  <c r="D121" i="3"/>
  <c r="D137" i="3"/>
  <c r="D148" i="3"/>
  <c r="D162" i="3"/>
  <c r="D181" i="3"/>
  <c r="D202" i="3"/>
  <c r="D209" i="3"/>
  <c r="D216" i="3"/>
  <c r="D234" i="3"/>
  <c r="D249" i="3"/>
  <c r="D258" i="3"/>
  <c r="E85" i="3"/>
  <c r="D265" i="3" l="1"/>
  <c r="D262" i="3"/>
  <c r="D263" i="3"/>
  <c r="D264" i="3"/>
  <c r="E258" i="3"/>
  <c r="E249" i="3"/>
  <c r="E234" i="3"/>
  <c r="E216" i="3"/>
  <c r="E209" i="3"/>
  <c r="E202" i="3"/>
  <c r="E181" i="3"/>
  <c r="E162" i="3"/>
  <c r="E148" i="3"/>
  <c r="E137" i="3"/>
  <c r="E121" i="3"/>
  <c r="E113" i="3"/>
  <c r="E103" i="3"/>
  <c r="E95" i="3"/>
  <c r="E263" i="3" l="1"/>
  <c r="E264" i="3"/>
  <c r="E265" i="3"/>
  <c r="E49" i="3"/>
  <c r="E262" i="3" s="1"/>
  <c r="E56" i="3"/>
  <c r="E74" i="3"/>
  <c r="E40" i="3"/>
  <c r="E33" i="3"/>
  <c r="D33" i="3"/>
  <c r="D261" i="3" s="1"/>
  <c r="E259" i="3" l="1"/>
  <c r="E261" i="3"/>
  <c r="D259" i="3" l="1"/>
</calcChain>
</file>

<file path=xl/sharedStrings.xml><?xml version="1.0" encoding="utf-8"?>
<sst xmlns="http://schemas.openxmlformats.org/spreadsheetml/2006/main" count="518" uniqueCount="299">
  <si>
    <t>Low Range Top</t>
  </si>
  <si>
    <t>Med Range Top</t>
  </si>
  <si>
    <t>Low</t>
  </si>
  <si>
    <t>Med</t>
  </si>
  <si>
    <t>Hi</t>
  </si>
  <si>
    <t>Set Low Range Top</t>
  </si>
  <si>
    <t>Set Med Range Top</t>
  </si>
  <si>
    <t>Section</t>
  </si>
  <si>
    <t>High</t>
  </si>
  <si>
    <t>Section 1 Low Rating Text</t>
  </si>
  <si>
    <t>Section 2 Low Rating Text</t>
  </si>
  <si>
    <t>Section 3 Low Rating Text</t>
  </si>
  <si>
    <t>Section 4 Low Rating Text</t>
  </si>
  <si>
    <t>Section 5 Low Rating Text</t>
  </si>
  <si>
    <t>Section 1 Medium Rating Text</t>
  </si>
  <si>
    <t>Section 2 Medium Rating Text</t>
  </si>
  <si>
    <t>Section 3 Medium Rating Text</t>
  </si>
  <si>
    <t>Section 4 Medium Rating Text</t>
  </si>
  <si>
    <t>Section 5 Medium Rating Text</t>
  </si>
  <si>
    <t>Section 1 High Rating Text</t>
  </si>
  <si>
    <t>Section 2 High Rating Text</t>
  </si>
  <si>
    <t>Section 3 High Rating Text</t>
  </si>
  <si>
    <t>Section 4 High Rating Text</t>
  </si>
  <si>
    <t>Section 5 High Rating Text</t>
  </si>
  <si>
    <t>IP</t>
  </si>
  <si>
    <t>Submission ID</t>
  </si>
  <si>
    <t>Submission Date</t>
  </si>
  <si>
    <t>What is the name of your business?</t>
  </si>
  <si>
    <t>Street Address</t>
  </si>
  <si>
    <t>Street Address Line 2</t>
  </si>
  <si>
    <t>City</t>
  </si>
  <si>
    <t>State / Province</t>
  </si>
  <si>
    <t>Postal / Zip Code</t>
  </si>
  <si>
    <t>Country</t>
  </si>
  <si>
    <t>What is the phone number for your business?</t>
  </si>
  <si>
    <t>What is the website address for your business?</t>
  </si>
  <si>
    <t>When did you first start your business?</t>
  </si>
  <si>
    <t>What type of business do you have?</t>
  </si>
  <si>
    <t>What is the legal status of your business?</t>
  </si>
  <si>
    <t>Is this a new start up or an established business?</t>
  </si>
  <si>
    <t>Who is the primary contact?</t>
  </si>
  <si>
    <t>What is the best phone number for the primary contact?</t>
  </si>
  <si>
    <t>What is the email for the primary contact?</t>
  </si>
  <si>
    <t>Do you currently have a Vision Statement for your business?</t>
  </si>
  <si>
    <t>Do you currently have a Mission Statement for your business?</t>
  </si>
  <si>
    <t>Have you created a Business Model for your business?</t>
  </si>
  <si>
    <t>Have you created a Financial Model for your business?</t>
  </si>
  <si>
    <t>Have you created a Product/Service Pricing Model for your business?</t>
  </si>
  <si>
    <t>Have you created a Go-To-Market Strategy for your business</t>
  </si>
  <si>
    <t>Have you created a One-Page Investor Summary for your business</t>
  </si>
  <si>
    <t>Have you created a Private Placement memorandum (PPM) for your business</t>
  </si>
  <si>
    <t>Have you created a Forward Looking (Save Harbor) Statement for your business</t>
  </si>
  <si>
    <t>Is your business currently generating revenue?</t>
  </si>
  <si>
    <t>If not, how long do you predict it will take to get there?</t>
  </si>
  <si>
    <t>What are some of the key problems you see with your business right now? (Select all that apply)</t>
  </si>
  <si>
    <t>Are you the sole owner of your business?</t>
  </si>
  <si>
    <t>Is there someone else you need to get approval from to make business decisions?</t>
  </si>
  <si>
    <t>Are you or any other owners of your company women, minorities, veterans or a disabled veteran?</t>
  </si>
  <si>
    <t>Is there stock set aside for future investors and/or employees?</t>
  </si>
  <si>
    <t>Have you established any strategic alliances or partners?</t>
  </si>
  <si>
    <t>End of 3 Summary</t>
  </si>
  <si>
    <t>Looking generally at your business, how would you describe its financial position? (select all that apply)</t>
  </si>
  <si>
    <t>How has the business been financed to date? (select all that apply)</t>
  </si>
  <si>
    <t>How much money have you and other founders invested in the business to date?</t>
  </si>
  <si>
    <t>Are you looking to attract additional investment funds?</t>
  </si>
  <si>
    <t>If so, how much are you looking to raise?</t>
  </si>
  <si>
    <t>What do you need the money for? (select all that apply)?</t>
  </si>
  <si>
    <t>How much do you presently have in immediately available funds, either already in the business or to inject into the business?</t>
  </si>
  <si>
    <t>End of 4 Summary</t>
  </si>
  <si>
    <t>What Milestones have been achieved to date? (Check all that apply)</t>
  </si>
  <si>
    <t>What Milestones are currently in the pipeline? (Check all that apply)</t>
  </si>
  <si>
    <t>How are you performing toward those milestone achievements?</t>
  </si>
  <si>
    <t>Are the people in place to help meet these milestones?</t>
  </si>
  <si>
    <t>What is your exit strategy?</t>
  </si>
  <si>
    <t>End of 5 Summary</t>
  </si>
  <si>
    <t>Is this a home office company or will  you need additional office space?</t>
  </si>
  <si>
    <t>How many people do you employ in total?</t>
  </si>
  <si>
    <t>How many people will you employ at full growth?</t>
  </si>
  <si>
    <t>Do you have an HR department internally, or is it outsourced?</t>
  </si>
  <si>
    <t>Do you have an IT department internally, or is it outsourced?</t>
  </si>
  <si>
    <t>Will you be seeking to hire new employees over next 12 months?</t>
  </si>
  <si>
    <t>Have you used external consultants to date?</t>
  </si>
  <si>
    <t>Would you consider using part-time consultants to fulfill some of the key functions within the company?</t>
  </si>
  <si>
    <t>What skill gaps do you currently feel you need to fill in order to grow your business? (Check all that apply)</t>
  </si>
  <si>
    <t>End of 6 Summary</t>
  </si>
  <si>
    <t>Do you have Executives other than yourself?</t>
  </si>
  <si>
    <t>What key executive functions are currently in place? (Check all that apply)</t>
  </si>
  <si>
    <t>Have any of your  Key Executives previously had successful business ventures?</t>
  </si>
  <si>
    <t>Do any of the Key Executives have Founder shares in the business?</t>
  </si>
  <si>
    <t>Have any of the Key Executives invested into the business?</t>
  </si>
  <si>
    <t>Are all executive team members direct employees of the business?</t>
  </si>
  <si>
    <t>Do you have a Board of Directors?</t>
  </si>
  <si>
    <t>Do you have an Advisory Board?</t>
  </si>
  <si>
    <t>Do you have external professional advisors, consultants or coaches in any specific area of activity?</t>
  </si>
  <si>
    <t>End of 7 Summary</t>
  </si>
  <si>
    <t>What do you sell?</t>
  </si>
  <si>
    <t>How do you characterize your business?</t>
  </si>
  <si>
    <t>If you are a service oriented business, are you the provider/creator of your service?</t>
  </si>
  <si>
    <t>If you are a product oriented business, are you the manufacturer of your product?</t>
  </si>
  <si>
    <t>Do you have an existing Minimal Viable Product (MVP) for your business</t>
  </si>
  <si>
    <t>What is your expectation of Net Profit before Taxes?</t>
  </si>
  <si>
    <t>Would your products/services be considered "must haves" or "like to haves"</t>
  </si>
  <si>
    <t>Do you have to drive demand or does the market take care of it?</t>
  </si>
  <si>
    <t>End of 8 Summary</t>
  </si>
  <si>
    <t>Do you have any proprietary technology or manufacturing processes?</t>
  </si>
  <si>
    <t>Do you have any patents, copyrights or trademarks filed or pending?</t>
  </si>
  <si>
    <t>Are you satisfied that your IP is being protected at the manufacturing level?</t>
  </si>
  <si>
    <t>Do you work with an established IP attorney?</t>
  </si>
  <si>
    <t>Do you suffer any issues with regard to IP infringement?</t>
  </si>
  <si>
    <t>Do you suffer problems with counterfeit products competing with you in the market?</t>
  </si>
  <si>
    <t>End of 9 Summary</t>
  </si>
  <si>
    <t>Where are your products/services currently being sold?</t>
  </si>
  <si>
    <t>Is your business model one which will enable you to significantly scale up your business?</t>
  </si>
  <si>
    <t>How do you see the future for your business?</t>
  </si>
  <si>
    <t>How long before  you see yourself becoming profitable?</t>
  </si>
  <si>
    <t>Are you exploiting the company’s full potential for “Geographical” scalaability?</t>
  </si>
  <si>
    <t>Would you consider setting up a physical presence in overseas markets?</t>
  </si>
  <si>
    <t>Are you exploiting the company’s full potential for “Market” scalability?</t>
  </si>
  <si>
    <t>Are you exploiting the company’s full potential for “Product scalability"?</t>
  </si>
  <si>
    <t>End of 10 Summary</t>
  </si>
  <si>
    <t>Do you currently have more than ONE revenue stream?</t>
  </si>
  <si>
    <t>Are you planning to increase the number of revenue streams?</t>
  </si>
  <si>
    <t>Are your sales patterns consistent or cyclical?</t>
  </si>
  <si>
    <t>Are you happy with the performance of all the revenue streams?</t>
  </si>
  <si>
    <t>How realistic is it to develop additional revenue streams? (on a scale of 1 to 5)</t>
  </si>
  <si>
    <t>What are the limiting factors for developing additional revenue streams?(Check all that apply)</t>
  </si>
  <si>
    <t>End of 11 Sumary</t>
  </si>
  <si>
    <t>Where are your sales made?</t>
  </si>
  <si>
    <t>Have you developed revenue projections for the next 2-3 years?</t>
  </si>
  <si>
    <t>How frequently do you track your performance against these projections?</t>
  </si>
  <si>
    <t>Have you developed revenue projections for the next 3-5 years?</t>
  </si>
  <si>
    <t>Do you have an internal sales force?</t>
  </si>
  <si>
    <t>How many people in the company are responsible for making sales?</t>
  </si>
  <si>
    <t>Are your salespeople full-time or part-time?</t>
  </si>
  <si>
    <t>Do you have an established sales process in place?</t>
  </si>
  <si>
    <t>How are your sales personnel compensated? (Check all that apply)</t>
  </si>
  <si>
    <t>Is your sales team meeting defined goals?</t>
  </si>
  <si>
    <t>Do you have an in-house sales training program?</t>
  </si>
  <si>
    <t>Do your field sales people also manage ongoing customer relationships?</t>
  </si>
  <si>
    <t>How long is the sales cycle?</t>
  </si>
  <si>
    <t>Do you export/work internationally?</t>
  </si>
  <si>
    <t>End of 12 Summary</t>
  </si>
  <si>
    <t>What percentage of your total sales is generated by your top 5 customers?</t>
  </si>
  <si>
    <t>How would you describe your target customer list?</t>
  </si>
  <si>
    <t>How would you describe your target market?</t>
  </si>
  <si>
    <t>Do you have a clear profile of your ideal customer?</t>
  </si>
  <si>
    <t>Are your customers readily accessible geographically?</t>
  </si>
  <si>
    <t>Are your customers readily accessible digitally?</t>
  </si>
  <si>
    <t>Do you have previous experience successfully selling other products/services to this customer set?</t>
  </si>
  <si>
    <t>How would you rate your customer relations overall?</t>
  </si>
  <si>
    <t>Do you get referral business from existing customers?</t>
  </si>
  <si>
    <t>End of 13 Summary</t>
  </si>
  <si>
    <t>How well defined is the size of your market on a scale of 1 to 5?</t>
  </si>
  <si>
    <t>Do you consider your company to have an established presence in its markets?</t>
  </si>
  <si>
    <t>How well do you feel you have penetrated those markets?</t>
  </si>
  <si>
    <t>Have you conducted a Strengths, Weakness, Opportunities and Threats (S.W.O.T.) analysis on your business</t>
  </si>
  <si>
    <t>Have you identified your primary competitive advantage?</t>
  </si>
  <si>
    <t>Do you have a plan to overcome your competitive disadvantages?</t>
  </si>
  <si>
    <t>Do you have serious competition?</t>
  </si>
  <si>
    <t>Are they powerhouse companies with massive resources you cannot match?</t>
  </si>
  <si>
    <t>How do your competitors see you in your markets?</t>
  </si>
  <si>
    <t>Do you have a handle on market trends effecting your business?</t>
  </si>
  <si>
    <t>Do these represent opportunities or threats to the business in the future?</t>
  </si>
  <si>
    <t>Is your market need well-known, or will you be required to educate your market as to the problem the need solved first?</t>
  </si>
  <si>
    <t>End of 14 Summary</t>
  </si>
  <si>
    <t>Does your company have a dominant brand identity?</t>
  </si>
  <si>
    <t>Does your company have registered domain names to support its market presence?</t>
  </si>
  <si>
    <t>Does your company have a professionally designed brand logo?</t>
  </si>
  <si>
    <t>Do your products/services have clear brand identities?</t>
  </si>
  <si>
    <t>How do you perceive your company's image today?</t>
  </si>
  <si>
    <t>If rated low, do you know why?</t>
  </si>
  <si>
    <t>Have you made efforts to strengthen your image in the past 12 months?</t>
  </si>
  <si>
    <t>Do you have a marketing strategy incorporated into a Marketing Plan?</t>
  </si>
  <si>
    <t>How often is this marketing strategy revisited and updated?</t>
  </si>
  <si>
    <t>Do you have an identified marketing budget?</t>
  </si>
  <si>
    <t>What percentage of total gross revenue is attributed to marketing</t>
  </si>
  <si>
    <t>Do you have anyone specifically in charge of marketing in-house or outside?</t>
  </si>
  <si>
    <t>Is there a corporate focus on the marketing of the company?</t>
  </si>
  <si>
    <t>What are the different channels you use to promote the business currently? (Check all that apply)</t>
  </si>
  <si>
    <t>Are you active on social media?</t>
  </si>
  <si>
    <t>Do you have in-house expert on social media or is it outsourced?</t>
  </si>
  <si>
    <t>Are your customers on social media?</t>
  </si>
  <si>
    <t>End of 15 Summary</t>
  </si>
  <si>
    <t>Have you been actively maintaining ongoing record keeping for financial purposes?</t>
  </si>
  <si>
    <t>Do you have internal bookkeeping capabilities?</t>
  </si>
  <si>
    <t>Do you have internal accounting staff or is it out-sourced?</t>
  </si>
  <si>
    <t>Do you employ an external CPA or accountant to prepare tax returns?</t>
  </si>
  <si>
    <t>Do you feel you have liquidity issues or cash flow problems?</t>
  </si>
  <si>
    <t>Do you have the bank facilities and relationships in place to support cash flows?</t>
  </si>
  <si>
    <t>Does the company carry any debt? (excluding equity investors)</t>
  </si>
  <si>
    <t>If so, how much?</t>
  </si>
  <si>
    <t>Are you happy with your current banking relationship?</t>
  </si>
  <si>
    <t>Is your company profitable?</t>
  </si>
  <si>
    <t>Have you reached breakeven?</t>
  </si>
  <si>
    <t>Are you able to determine if all your product or service lines make money?</t>
  </si>
  <si>
    <t>How closely do you monitor cash flows?</t>
  </si>
  <si>
    <t>Do you have an internal financial management system that you use?</t>
  </si>
  <si>
    <t>Does your company produce annual budgets?</t>
  </si>
  <si>
    <t>Do you produce regular cash flow forecasts?</t>
  </si>
  <si>
    <t>If so, how accurate have they proven to be to date?</t>
  </si>
  <si>
    <t>Do you compare your actual performance against your forecasts?</t>
  </si>
  <si>
    <t>Are all your taxes filed up to date?</t>
  </si>
  <si>
    <t>End of 16 Summary</t>
  </si>
  <si>
    <t>Does the company have robust pricing models for all its products?</t>
  </si>
  <si>
    <t>Do you have a clear idea of your unit costs of production?</t>
  </si>
  <si>
    <t>Are you selling to wholesalers/ retailers/ public directly? (Check all that apply)</t>
  </si>
  <si>
    <t>Is your pricing model dictated by competition or by profit goals?</t>
  </si>
  <si>
    <t>If product based, do you offer value-added “services” in addition to the company’s offerings?</t>
  </si>
  <si>
    <t>End Section 17 Summary</t>
  </si>
  <si>
    <t>Do you consider you have a cost problem generally?</t>
  </si>
  <si>
    <t>If so, do you know where problem lies?</t>
  </si>
  <si>
    <t>Have you tried or been able to do anything positive to turn these problems around?</t>
  </si>
  <si>
    <t>Do you have any systems in place to control costs?</t>
  </si>
  <si>
    <t>Is there a cost control culture within your company?</t>
  </si>
  <si>
    <t>End Section 18 Summary</t>
  </si>
  <si>
    <t>Are you a Manufacturing Company?</t>
  </si>
  <si>
    <t>Where are your products manufactured?</t>
  </si>
  <si>
    <t>Are you satisfied with your manufacturing operations?</t>
  </si>
  <si>
    <t>Do you suffer from quality control issues?</t>
  </si>
  <si>
    <t>If manufacturing overseas, do you have a local rep looking after you?</t>
  </si>
  <si>
    <t>Are you always able to fulfill orders on time?</t>
  </si>
  <si>
    <t>Are you satisfied with your costs of production?</t>
  </si>
  <si>
    <t>Do you have problems sourcing supplies and raw materials?</t>
  </si>
  <si>
    <t>How much control do you have over the manufacturing process?</t>
  </si>
  <si>
    <t>Do you receive satisfactory credit terms from your suppliers?</t>
  </si>
  <si>
    <t>Are you normally able to pay creditors on time?</t>
  </si>
  <si>
    <t>Are you governed by Health &amp; Safety or other regulatory matters?</t>
  </si>
  <si>
    <t>Are you in compliance with all appropriate regulations and laws?</t>
  </si>
  <si>
    <t>Are your company’s internal production processes robust?</t>
  </si>
  <si>
    <t>How engaged is  your company regarding new product development?</t>
  </si>
  <si>
    <t>Is anyone responsible for new product development?</t>
  </si>
  <si>
    <t>End Section 19 Summary</t>
  </si>
  <si>
    <t>Are you permanently stressed out due to work issues?</t>
  </si>
  <si>
    <t>What stressors seem to keep you up at night? (Check all that apply</t>
  </si>
  <si>
    <t>Do you feel your life/work balance is skewed in the wrong direction?</t>
  </si>
  <si>
    <t>Are you ever able to take time out to recharge?</t>
  </si>
  <si>
    <t>Do you have a team in place to fill in gaps when you are away?</t>
  </si>
  <si>
    <t>Do you feel the company can operate effectively in your absence?</t>
  </si>
  <si>
    <t>Do you have "Key Person" Insurance or some protective measure in place if you should become incapacitated?</t>
  </si>
  <si>
    <t>Are you able to pay yourself what you think you’re worth?</t>
  </si>
  <si>
    <t>On an hourly basis, are you the best or worst paid person in your company?</t>
  </si>
  <si>
    <t>Do you have a “Legacy” plan in place for your business?</t>
  </si>
  <si>
    <t>Do you have a successor in mind?</t>
  </si>
  <si>
    <t>If so, is your successor being groomed to take over?</t>
  </si>
  <si>
    <t>Looking at your overall feelings about becoming a business owner, which answer best sums up your feelings?</t>
  </si>
  <si>
    <t>End Section 20 Summary</t>
  </si>
  <si>
    <t>Do you see any of the following looming external threats happening that could upset your business? (Check all that apply)</t>
  </si>
  <si>
    <t>Are there any internal weakness or threats that could hinder your growth as a company? (Check all that apply)</t>
  </si>
  <si>
    <t>Do you see any changes externally that could create great opportunities for growth?</t>
  </si>
  <si>
    <t>Do you feel you already have the internal resources to exploit those opportunities?</t>
  </si>
  <si>
    <t>How Close is the Company to reaching it's full potential as it is right now?</t>
  </si>
  <si>
    <t>Would it require a significant capital injection to take it to another level?</t>
  </si>
  <si>
    <t>Would it require an enhanced team to take it there?</t>
  </si>
  <si>
    <t>End of Section 21 Summary</t>
  </si>
  <si>
    <t>Category</t>
  </si>
  <si>
    <t>#</t>
  </si>
  <si>
    <t>Yes/No</t>
  </si>
  <si>
    <t>Single</t>
  </si>
  <si>
    <t>Multiple</t>
  </si>
  <si>
    <t>Totals</t>
  </si>
  <si>
    <t>single</t>
  </si>
  <si>
    <t>Grand Total</t>
  </si>
  <si>
    <t>End of 2 Summary</t>
  </si>
  <si>
    <t>Section 2 Business Preparation</t>
  </si>
  <si>
    <t>Section 3 - Ownership Structure</t>
  </si>
  <si>
    <t>Section 4 - Business Funding Position</t>
  </si>
  <si>
    <t>Section 5 - Business Milestone Achievements</t>
  </si>
  <si>
    <t>Section 6 - Business Structure &amp; Organization</t>
  </si>
  <si>
    <t>Section 7 - Executive Management Team</t>
  </si>
  <si>
    <t>Section 8 - Products or Services</t>
  </si>
  <si>
    <t>Section 9 - Intellectual Property</t>
  </si>
  <si>
    <t>Section 10 - Scalability</t>
  </si>
  <si>
    <t>Section 11 - Revenue</t>
  </si>
  <si>
    <t>Section 12 - Sales</t>
  </si>
  <si>
    <t>Section 13 - Customer Identification</t>
  </si>
  <si>
    <t>Section 14 - Market Dynamics</t>
  </si>
  <si>
    <t>Section 15 - Marketing</t>
  </si>
  <si>
    <t>Section 16 - Financial Management</t>
  </si>
  <si>
    <t>Section 17 - Pricing Models</t>
  </si>
  <si>
    <t>Section 18 - Cost Controls</t>
  </si>
  <si>
    <t>Section 19 - Production</t>
  </si>
  <si>
    <t>Section 20 - Personal Assessment</t>
  </si>
  <si>
    <t>Section 21 - General</t>
  </si>
  <si>
    <t>Is there a defined culture within your organization?</t>
  </si>
  <si>
    <t>Do you have a high turnover of employees?</t>
  </si>
  <si>
    <t>Do you have issues with team engagement among employees?</t>
  </si>
  <si>
    <t>Have you developed a policies and procedures manual?</t>
  </si>
  <si>
    <t>Do you have job descriptions in place for employees?</t>
  </si>
  <si>
    <t>Do you have an official review/discipline process in place?</t>
  </si>
  <si>
    <t>Do you have an active employee benefits plan in place?</t>
  </si>
  <si>
    <t>Form Low</t>
  </si>
  <si>
    <t>Form Hi</t>
  </si>
  <si>
    <t>Sections</t>
  </si>
  <si>
    <t>Section Title</t>
  </si>
  <si>
    <t>Foundational Structure (Sections 2, 3, 5, 6 &amp; 7)</t>
  </si>
  <si>
    <t>Financial Position (Sections 4, 8, 11, 12, 16, 17 &amp; 18)</t>
  </si>
  <si>
    <t>Sales/Marketing (Sections 10, 12, 13, 14 &amp; 15)</t>
  </si>
  <si>
    <t xml:space="preserve">Product/Service (Sections 8, 9 &amp; 19) </t>
  </si>
  <si>
    <t>General (Sections 20 &amp; 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</si>
</sst>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CFFCC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wrapText="1"/>
    </xf>
    <xf numFmtId="0" fontId="7" fillId="3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 vertical="top" wrapText="1"/>
    </xf>
    <xf numFmtId="0" fontId="8" fillId="6" borderId="3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left" vertical="top" wrapText="1"/>
    </xf>
    <xf numFmtId="0" fontId="9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8" fillId="5" borderId="0" xfId="0" applyFont="1" applyFill="1" applyBorder="1" applyAlignment="1">
      <alignment horizontal="center" vertical="top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0" fillId="7" borderId="4" xfId="0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" fillId="8" borderId="4" xfId="0" applyFont="1" applyFill="1" applyBorder="1"/>
    <xf numFmtId="0" fontId="1" fillId="8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wrapText="1"/>
    </xf>
    <xf numFmtId="0" fontId="4" fillId="9" borderId="4" xfId="0" applyFont="1" applyFill="1" applyBorder="1" applyAlignment="1">
      <alignment horizontal="center"/>
    </xf>
  </cellXfs>
  <cellStyles count="2">
    <cellStyle name="Normal" xfId="0" builtinId="0"/>
    <cellStyle name="Normal_Sheet2" xfId="1" xr:uid="{C249CD10-4F98-4634-8B2A-7B910291D45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70F8-133E-4DF8-BCEA-7697475E4A2D}">
  <dimension ref="A1:L265"/>
  <sheetViews>
    <sheetView tabSelected="1" workbookViewId="0">
      <pane ySplit="19" topLeftCell="A260" activePane="bottomLeft" state="frozen"/>
      <selection pane="bottomLeft" activeCell="B273" sqref="B273"/>
    </sheetView>
  </sheetViews>
  <sheetFormatPr baseColWidth="10" defaultColWidth="8.7109375" defaultRowHeight="16" outlineLevelRow="2" x14ac:dyDescent="0.2"/>
  <cols>
    <col min="1" max="1" width="5.5703125" style="6" bestFit="1" customWidth="1"/>
    <col min="2" max="2" width="59.28515625" style="10" customWidth="1"/>
    <col min="3" max="3" width="12.28515625" style="6" bestFit="1" customWidth="1"/>
    <col min="4" max="4" width="8.28515625" bestFit="1" customWidth="1"/>
    <col min="5" max="5" width="8.5703125" bestFit="1" customWidth="1"/>
    <col min="6" max="6" width="10.5703125" customWidth="1"/>
    <col min="7" max="7" width="11.7109375" customWidth="1"/>
    <col min="11" max="12" width="8.85546875" hidden="1" customWidth="1"/>
  </cols>
  <sheetData>
    <row r="1" spans="1:5" s="1" customFormat="1" hidden="1" x14ac:dyDescent="0.2">
      <c r="A1" s="11" t="s">
        <v>255</v>
      </c>
      <c r="B1" s="8" t="s">
        <v>24</v>
      </c>
      <c r="C1" s="11" t="s">
        <v>254</v>
      </c>
      <c r="D1" s="11" t="s">
        <v>2</v>
      </c>
      <c r="E1" s="11" t="s">
        <v>8</v>
      </c>
    </row>
    <row r="2" spans="1:5" hidden="1" outlineLevel="2" x14ac:dyDescent="0.2">
      <c r="A2" s="6">
        <v>1</v>
      </c>
      <c r="B2" s="5" t="s">
        <v>25</v>
      </c>
    </row>
    <row r="3" spans="1:5" hidden="1" outlineLevel="2" x14ac:dyDescent="0.2">
      <c r="A3" s="6">
        <v>2</v>
      </c>
      <c r="B3" s="5" t="s">
        <v>26</v>
      </c>
    </row>
    <row r="4" spans="1:5" hidden="1" outlineLevel="2" x14ac:dyDescent="0.2">
      <c r="A4" s="6">
        <v>3</v>
      </c>
      <c r="B4" s="5" t="s">
        <v>27</v>
      </c>
    </row>
    <row r="5" spans="1:5" hidden="1" outlineLevel="2" x14ac:dyDescent="0.2">
      <c r="A5" s="6">
        <v>4</v>
      </c>
      <c r="B5" s="5" t="s">
        <v>28</v>
      </c>
    </row>
    <row r="6" spans="1:5" hidden="1" outlineLevel="2" x14ac:dyDescent="0.2">
      <c r="A6" s="6">
        <v>5</v>
      </c>
      <c r="B6" s="5" t="s">
        <v>29</v>
      </c>
    </row>
    <row r="7" spans="1:5" hidden="1" outlineLevel="2" x14ac:dyDescent="0.2">
      <c r="A7" s="6">
        <v>6</v>
      </c>
      <c r="B7" s="5" t="s">
        <v>30</v>
      </c>
    </row>
    <row r="8" spans="1:5" hidden="1" outlineLevel="2" x14ac:dyDescent="0.2">
      <c r="A8" s="6">
        <v>7</v>
      </c>
      <c r="B8" s="5" t="s">
        <v>31</v>
      </c>
    </row>
    <row r="9" spans="1:5" hidden="1" outlineLevel="2" x14ac:dyDescent="0.2">
      <c r="A9" s="6">
        <v>8</v>
      </c>
      <c r="B9" s="5" t="s">
        <v>32</v>
      </c>
    </row>
    <row r="10" spans="1:5" hidden="1" outlineLevel="2" x14ac:dyDescent="0.2">
      <c r="A10" s="6">
        <v>9</v>
      </c>
      <c r="B10" s="5" t="s">
        <v>33</v>
      </c>
    </row>
    <row r="11" spans="1:5" hidden="1" outlineLevel="2" x14ac:dyDescent="0.2">
      <c r="A11" s="6">
        <v>10</v>
      </c>
      <c r="B11" s="5" t="s">
        <v>34</v>
      </c>
    </row>
    <row r="12" spans="1:5" hidden="1" outlineLevel="2" x14ac:dyDescent="0.2">
      <c r="A12" s="6">
        <v>11</v>
      </c>
      <c r="B12" s="5" t="s">
        <v>35</v>
      </c>
    </row>
    <row r="13" spans="1:5" hidden="1" outlineLevel="2" x14ac:dyDescent="0.2">
      <c r="A13" s="6">
        <v>12</v>
      </c>
      <c r="B13" s="5" t="s">
        <v>36</v>
      </c>
    </row>
    <row r="14" spans="1:5" hidden="1" outlineLevel="2" x14ac:dyDescent="0.2">
      <c r="A14" s="6">
        <v>13</v>
      </c>
      <c r="B14" s="5" t="s">
        <v>37</v>
      </c>
    </row>
    <row r="15" spans="1:5" hidden="1" outlineLevel="2" x14ac:dyDescent="0.2">
      <c r="A15" s="6">
        <v>14</v>
      </c>
      <c r="B15" s="5" t="s">
        <v>38</v>
      </c>
    </row>
    <row r="16" spans="1:5" hidden="1" outlineLevel="2" x14ac:dyDescent="0.2">
      <c r="A16" s="6">
        <v>15</v>
      </c>
      <c r="B16" s="5" t="s">
        <v>39</v>
      </c>
    </row>
    <row r="17" spans="1:5" hidden="1" outlineLevel="2" x14ac:dyDescent="0.2">
      <c r="A17" s="6">
        <v>16</v>
      </c>
      <c r="B17" s="5" t="s">
        <v>40</v>
      </c>
    </row>
    <row r="18" spans="1:5" hidden="1" outlineLevel="2" x14ac:dyDescent="0.2">
      <c r="A18" s="6">
        <v>17</v>
      </c>
      <c r="B18" s="5" t="s">
        <v>41</v>
      </c>
    </row>
    <row r="19" spans="1:5" hidden="1" outlineLevel="2" x14ac:dyDescent="0.2">
      <c r="A19" s="6">
        <v>18</v>
      </c>
      <c r="B19" s="5" t="s">
        <v>42</v>
      </c>
    </row>
    <row r="20" spans="1:5" hidden="1" outlineLevel="1" collapsed="1" x14ac:dyDescent="0.2">
      <c r="A20" s="7"/>
      <c r="B20" s="8" t="s">
        <v>263</v>
      </c>
      <c r="C20" s="7"/>
    </row>
    <row r="21" spans="1:5" hidden="1" outlineLevel="2" x14ac:dyDescent="0.2">
      <c r="A21" s="6">
        <v>19</v>
      </c>
      <c r="B21" s="5" t="s">
        <v>43</v>
      </c>
      <c r="C21" s="6" t="s">
        <v>256</v>
      </c>
      <c r="D21" s="6">
        <v>0</v>
      </c>
      <c r="E21" s="6">
        <v>2</v>
      </c>
    </row>
    <row r="22" spans="1:5" hidden="1" outlineLevel="2" x14ac:dyDescent="0.2">
      <c r="A22" s="6">
        <v>20</v>
      </c>
      <c r="B22" s="5" t="s">
        <v>44</v>
      </c>
      <c r="C22" s="6" t="s">
        <v>256</v>
      </c>
      <c r="D22" s="6">
        <v>0</v>
      </c>
      <c r="E22" s="6">
        <v>2</v>
      </c>
    </row>
    <row r="23" spans="1:5" hidden="1" outlineLevel="2" x14ac:dyDescent="0.2">
      <c r="A23" s="6">
        <v>21</v>
      </c>
      <c r="B23" s="5" t="s">
        <v>45</v>
      </c>
      <c r="C23" s="6" t="s">
        <v>256</v>
      </c>
      <c r="D23" s="6">
        <v>0</v>
      </c>
      <c r="E23" s="6">
        <v>2</v>
      </c>
    </row>
    <row r="24" spans="1:5" hidden="1" outlineLevel="2" x14ac:dyDescent="0.2">
      <c r="A24" s="6">
        <v>22</v>
      </c>
      <c r="B24" s="5" t="s">
        <v>46</v>
      </c>
      <c r="C24" s="6" t="s">
        <v>256</v>
      </c>
      <c r="D24" s="6">
        <v>0</v>
      </c>
      <c r="E24" s="6">
        <v>2</v>
      </c>
    </row>
    <row r="25" spans="1:5" hidden="1" outlineLevel="2" x14ac:dyDescent="0.2">
      <c r="A25" s="6">
        <v>23</v>
      </c>
      <c r="B25" s="5" t="s">
        <v>47</v>
      </c>
      <c r="C25" s="6" t="s">
        <v>256</v>
      </c>
      <c r="D25" s="6">
        <v>1</v>
      </c>
      <c r="E25" s="6">
        <v>2</v>
      </c>
    </row>
    <row r="26" spans="1:5" hidden="1" outlineLevel="2" x14ac:dyDescent="0.2">
      <c r="A26" s="6">
        <v>24</v>
      </c>
      <c r="B26" s="5" t="s">
        <v>48</v>
      </c>
      <c r="C26" s="6" t="s">
        <v>256</v>
      </c>
      <c r="D26" s="6">
        <v>0</v>
      </c>
      <c r="E26" s="6">
        <v>2</v>
      </c>
    </row>
    <row r="27" spans="1:5" hidden="1" outlineLevel="2" x14ac:dyDescent="0.2">
      <c r="A27" s="6">
        <v>25</v>
      </c>
      <c r="B27" s="5" t="s">
        <v>49</v>
      </c>
      <c r="C27" s="6" t="s">
        <v>256</v>
      </c>
      <c r="D27" s="6">
        <v>1</v>
      </c>
      <c r="E27" s="6">
        <v>2</v>
      </c>
    </row>
    <row r="28" spans="1:5" hidden="1" outlineLevel="2" x14ac:dyDescent="0.2">
      <c r="A28" s="6">
        <v>26</v>
      </c>
      <c r="B28" s="5" t="s">
        <v>50</v>
      </c>
      <c r="C28" s="6" t="s">
        <v>256</v>
      </c>
      <c r="D28" s="6">
        <v>0</v>
      </c>
      <c r="E28" s="6">
        <v>2</v>
      </c>
    </row>
    <row r="29" spans="1:5" hidden="1" outlineLevel="2" x14ac:dyDescent="0.2">
      <c r="A29" s="6">
        <v>27</v>
      </c>
      <c r="B29" s="5" t="s">
        <v>51</v>
      </c>
      <c r="C29" s="6" t="s">
        <v>256</v>
      </c>
      <c r="D29" s="6">
        <v>0</v>
      </c>
      <c r="E29" s="6">
        <v>2</v>
      </c>
    </row>
    <row r="30" spans="1:5" hidden="1" outlineLevel="2" x14ac:dyDescent="0.2">
      <c r="A30" s="6">
        <v>28</v>
      </c>
      <c r="B30" s="5" t="s">
        <v>52</v>
      </c>
      <c r="C30" s="6" t="s">
        <v>256</v>
      </c>
      <c r="D30" s="6">
        <v>0</v>
      </c>
      <c r="E30" s="6">
        <v>2</v>
      </c>
    </row>
    <row r="31" spans="1:5" hidden="1" outlineLevel="2" x14ac:dyDescent="0.2">
      <c r="A31" s="6">
        <v>29</v>
      </c>
      <c r="B31" s="5" t="s">
        <v>53</v>
      </c>
      <c r="C31" s="6" t="s">
        <v>257</v>
      </c>
      <c r="D31" s="6">
        <v>0</v>
      </c>
      <c r="E31" s="6">
        <v>3</v>
      </c>
    </row>
    <row r="32" spans="1:5" ht="30" hidden="1" outlineLevel="2" x14ac:dyDescent="0.2">
      <c r="A32" s="6">
        <v>30</v>
      </c>
      <c r="B32" s="5" t="s">
        <v>54</v>
      </c>
      <c r="C32" s="6" t="s">
        <v>258</v>
      </c>
      <c r="D32" s="6">
        <v>-3.25</v>
      </c>
      <c r="E32" s="6">
        <v>0</v>
      </c>
    </row>
    <row r="33" spans="1:5" hidden="1" outlineLevel="1" collapsed="1" x14ac:dyDescent="0.2">
      <c r="A33" s="9">
        <v>31</v>
      </c>
      <c r="B33" s="9" t="s">
        <v>262</v>
      </c>
      <c r="C33" s="9" t="s">
        <v>259</v>
      </c>
      <c r="D33" s="9">
        <f>SUM(D21:D32)</f>
        <v>-1.25</v>
      </c>
      <c r="E33" s="9">
        <f>SUM(E21:E32)</f>
        <v>23</v>
      </c>
    </row>
    <row r="34" spans="1:5" hidden="1" outlineLevel="1" x14ac:dyDescent="0.2">
      <c r="A34" s="12"/>
      <c r="B34" s="8" t="s">
        <v>264</v>
      </c>
      <c r="C34" s="13"/>
      <c r="D34" s="13"/>
      <c r="E34" s="13"/>
    </row>
    <row r="35" spans="1:5" hidden="1" outlineLevel="2" x14ac:dyDescent="0.2">
      <c r="A35" s="6">
        <v>32</v>
      </c>
      <c r="B35" s="5" t="s">
        <v>55</v>
      </c>
      <c r="C35" s="6" t="s">
        <v>256</v>
      </c>
      <c r="D35" s="6">
        <v>1</v>
      </c>
      <c r="E35" s="6">
        <v>2</v>
      </c>
    </row>
    <row r="36" spans="1:5" ht="30" hidden="1" outlineLevel="2" x14ac:dyDescent="0.2">
      <c r="A36" s="6">
        <v>33</v>
      </c>
      <c r="B36" s="5" t="s">
        <v>56</v>
      </c>
      <c r="C36" s="6" t="s">
        <v>256</v>
      </c>
      <c r="D36" s="6">
        <v>1</v>
      </c>
      <c r="E36" s="6">
        <v>2</v>
      </c>
    </row>
    <row r="37" spans="1:5" ht="30" hidden="1" outlineLevel="2" x14ac:dyDescent="0.2">
      <c r="A37" s="6">
        <v>34</v>
      </c>
      <c r="B37" s="5" t="s">
        <v>57</v>
      </c>
      <c r="C37" s="6" t="s">
        <v>256</v>
      </c>
      <c r="D37" s="6">
        <v>1</v>
      </c>
      <c r="E37" s="6">
        <v>2</v>
      </c>
    </row>
    <row r="38" spans="1:5" hidden="1" outlineLevel="2" x14ac:dyDescent="0.2">
      <c r="A38" s="6">
        <v>35</v>
      </c>
      <c r="B38" s="5" t="s">
        <v>58</v>
      </c>
      <c r="C38" s="6" t="s">
        <v>256</v>
      </c>
      <c r="D38" s="6">
        <v>0</v>
      </c>
      <c r="E38" s="6">
        <v>2</v>
      </c>
    </row>
    <row r="39" spans="1:5" hidden="1" outlineLevel="2" x14ac:dyDescent="0.2">
      <c r="A39" s="6">
        <v>36</v>
      </c>
      <c r="B39" s="5" t="s">
        <v>59</v>
      </c>
      <c r="C39" s="6" t="s">
        <v>256</v>
      </c>
      <c r="D39" s="6">
        <v>1</v>
      </c>
      <c r="E39" s="6">
        <v>3</v>
      </c>
    </row>
    <row r="40" spans="1:5" hidden="1" outlineLevel="1" collapsed="1" x14ac:dyDescent="0.2">
      <c r="A40" s="6">
        <v>37</v>
      </c>
      <c r="B40" s="9" t="s">
        <v>60</v>
      </c>
      <c r="C40" s="9" t="s">
        <v>259</v>
      </c>
      <c r="D40" s="9">
        <f t="shared" ref="D40:E40" si="0">SUM(D35:D39)</f>
        <v>4</v>
      </c>
      <c r="E40" s="9">
        <f t="shared" si="0"/>
        <v>11</v>
      </c>
    </row>
    <row r="41" spans="1:5" hidden="1" outlineLevel="1" x14ac:dyDescent="0.2">
      <c r="A41" s="12"/>
      <c r="B41" s="8" t="s">
        <v>265</v>
      </c>
      <c r="C41" s="13"/>
      <c r="D41" s="13"/>
      <c r="E41" s="13"/>
    </row>
    <row r="42" spans="1:5" ht="30" hidden="1" outlineLevel="2" x14ac:dyDescent="0.2">
      <c r="A42" s="6">
        <v>38</v>
      </c>
      <c r="B42" s="5" t="s">
        <v>61</v>
      </c>
      <c r="C42" s="6" t="s">
        <v>258</v>
      </c>
      <c r="D42" s="6">
        <v>1</v>
      </c>
      <c r="E42" s="6">
        <v>5</v>
      </c>
    </row>
    <row r="43" spans="1:5" hidden="1" outlineLevel="2" x14ac:dyDescent="0.2">
      <c r="A43" s="6">
        <v>39</v>
      </c>
      <c r="B43" s="5" t="s">
        <v>62</v>
      </c>
      <c r="C43" s="6" t="s">
        <v>258</v>
      </c>
      <c r="D43" s="6">
        <v>1</v>
      </c>
      <c r="E43" s="6">
        <v>11</v>
      </c>
    </row>
    <row r="44" spans="1:5" hidden="1" outlineLevel="2" x14ac:dyDescent="0.2">
      <c r="A44" s="6">
        <v>40</v>
      </c>
      <c r="B44" s="5" t="s">
        <v>63</v>
      </c>
      <c r="C44" s="6" t="s">
        <v>257</v>
      </c>
      <c r="D44" s="6">
        <v>1</v>
      </c>
      <c r="E44" s="6">
        <v>5</v>
      </c>
    </row>
    <row r="45" spans="1:5" hidden="1" outlineLevel="2" x14ac:dyDescent="0.2">
      <c r="A45" s="6">
        <v>41</v>
      </c>
      <c r="B45" s="5" t="s">
        <v>64</v>
      </c>
      <c r="C45" s="6" t="s">
        <v>257</v>
      </c>
      <c r="D45" s="6">
        <v>0</v>
      </c>
      <c r="E45" s="6">
        <v>2</v>
      </c>
    </row>
    <row r="46" spans="1:5" hidden="1" outlineLevel="2" x14ac:dyDescent="0.2">
      <c r="A46" s="6">
        <v>42</v>
      </c>
      <c r="B46" s="5" t="s">
        <v>65</v>
      </c>
      <c r="C46" s="6" t="s">
        <v>256</v>
      </c>
      <c r="D46" s="6">
        <v>0</v>
      </c>
      <c r="E46" s="6">
        <v>1</v>
      </c>
    </row>
    <row r="47" spans="1:5" hidden="1" outlineLevel="2" x14ac:dyDescent="0.2">
      <c r="A47" s="6">
        <v>43</v>
      </c>
      <c r="B47" s="5" t="s">
        <v>66</v>
      </c>
      <c r="C47" s="6" t="s">
        <v>257</v>
      </c>
      <c r="D47" s="6">
        <v>1</v>
      </c>
      <c r="E47" s="6">
        <v>17</v>
      </c>
    </row>
    <row r="48" spans="1:5" ht="30" hidden="1" outlineLevel="2" x14ac:dyDescent="0.2">
      <c r="A48" s="6">
        <v>44</v>
      </c>
      <c r="B48" s="5" t="s">
        <v>67</v>
      </c>
      <c r="C48" s="6" t="s">
        <v>257</v>
      </c>
      <c r="D48" s="6">
        <v>0</v>
      </c>
      <c r="E48" s="6">
        <v>4</v>
      </c>
    </row>
    <row r="49" spans="1:5" hidden="1" outlineLevel="1" collapsed="1" x14ac:dyDescent="0.2">
      <c r="A49" s="6">
        <v>45</v>
      </c>
      <c r="B49" s="9" t="s">
        <v>68</v>
      </c>
      <c r="C49" s="9" t="s">
        <v>259</v>
      </c>
      <c r="D49" s="9">
        <f t="shared" ref="D49:E49" si="1">SUM(D42:D48)</f>
        <v>4</v>
      </c>
      <c r="E49" s="9">
        <f t="shared" si="1"/>
        <v>45</v>
      </c>
    </row>
    <row r="50" spans="1:5" hidden="1" outlineLevel="1" x14ac:dyDescent="0.2">
      <c r="A50" s="12"/>
      <c r="B50" s="8" t="s">
        <v>266</v>
      </c>
      <c r="C50" s="13"/>
      <c r="D50" s="13"/>
      <c r="E50" s="13"/>
    </row>
    <row r="51" spans="1:5" hidden="1" outlineLevel="2" x14ac:dyDescent="0.2">
      <c r="A51" s="6">
        <v>46</v>
      </c>
      <c r="B51" s="5" t="s">
        <v>69</v>
      </c>
      <c r="C51" s="6" t="s">
        <v>258</v>
      </c>
      <c r="D51" s="6">
        <v>1</v>
      </c>
      <c r="E51" s="6">
        <v>27</v>
      </c>
    </row>
    <row r="52" spans="1:5" hidden="1" outlineLevel="2" x14ac:dyDescent="0.2">
      <c r="A52" s="6">
        <v>47</v>
      </c>
      <c r="B52" s="5" t="s">
        <v>70</v>
      </c>
      <c r="C52" s="6" t="s">
        <v>258</v>
      </c>
      <c r="D52" s="6">
        <v>0</v>
      </c>
      <c r="E52" s="6">
        <v>12</v>
      </c>
    </row>
    <row r="53" spans="1:5" hidden="1" outlineLevel="2" x14ac:dyDescent="0.2">
      <c r="A53" s="6">
        <v>48</v>
      </c>
      <c r="B53" s="5" t="s">
        <v>71</v>
      </c>
      <c r="C53" s="6" t="s">
        <v>257</v>
      </c>
      <c r="D53" s="6">
        <v>1</v>
      </c>
      <c r="E53" s="6">
        <v>4</v>
      </c>
    </row>
    <row r="54" spans="1:5" hidden="1" outlineLevel="2" x14ac:dyDescent="0.2">
      <c r="A54" s="6">
        <v>49</v>
      </c>
      <c r="B54" s="5" t="s">
        <v>72</v>
      </c>
      <c r="C54" s="6" t="s">
        <v>256</v>
      </c>
      <c r="D54" s="6">
        <v>0</v>
      </c>
      <c r="E54" s="6">
        <v>2</v>
      </c>
    </row>
    <row r="55" spans="1:5" hidden="1" outlineLevel="2" x14ac:dyDescent="0.2">
      <c r="A55" s="6">
        <v>50</v>
      </c>
      <c r="B55" s="5" t="s">
        <v>73</v>
      </c>
      <c r="C55" s="6" t="s">
        <v>257</v>
      </c>
      <c r="D55" s="6">
        <v>0</v>
      </c>
      <c r="E55" s="6">
        <v>1</v>
      </c>
    </row>
    <row r="56" spans="1:5" hidden="1" outlineLevel="1" collapsed="1" x14ac:dyDescent="0.2">
      <c r="A56" s="6">
        <v>51</v>
      </c>
      <c r="B56" s="9" t="s">
        <v>74</v>
      </c>
      <c r="C56" s="9" t="s">
        <v>259</v>
      </c>
      <c r="D56" s="9">
        <f t="shared" ref="D56:E56" si="2">SUM(D51:D55)</f>
        <v>2</v>
      </c>
      <c r="E56" s="9">
        <f t="shared" si="2"/>
        <v>46</v>
      </c>
    </row>
    <row r="57" spans="1:5" hidden="1" outlineLevel="1" x14ac:dyDescent="0.2">
      <c r="A57" s="12"/>
      <c r="B57" s="8" t="s">
        <v>267</v>
      </c>
      <c r="C57" s="13"/>
      <c r="D57" s="13"/>
      <c r="E57" s="13"/>
    </row>
    <row r="58" spans="1:5" hidden="1" outlineLevel="2" x14ac:dyDescent="0.2">
      <c r="A58" s="6">
        <v>52</v>
      </c>
      <c r="B58" s="5" t="s">
        <v>75</v>
      </c>
      <c r="C58" s="6" t="s">
        <v>257</v>
      </c>
      <c r="D58" s="6">
        <v>1</v>
      </c>
      <c r="E58" s="6">
        <v>4</v>
      </c>
    </row>
    <row r="59" spans="1:5" hidden="1" outlineLevel="2" x14ac:dyDescent="0.2">
      <c r="A59" s="6">
        <v>53</v>
      </c>
      <c r="B59" s="5" t="s">
        <v>76</v>
      </c>
      <c r="C59" s="6" t="s">
        <v>257</v>
      </c>
      <c r="D59" s="6">
        <v>1</v>
      </c>
      <c r="E59" s="6">
        <v>5</v>
      </c>
    </row>
    <row r="60" spans="1:5" hidden="1" outlineLevel="2" x14ac:dyDescent="0.2">
      <c r="A60" s="6">
        <v>54</v>
      </c>
      <c r="B60" s="5" t="s">
        <v>77</v>
      </c>
      <c r="C60" s="6" t="s">
        <v>257</v>
      </c>
      <c r="D60" s="6">
        <v>0</v>
      </c>
      <c r="E60" s="6">
        <v>4</v>
      </c>
    </row>
    <row r="61" spans="1:5" hidden="1" outlineLevel="2" x14ac:dyDescent="0.2">
      <c r="A61" s="6">
        <v>55</v>
      </c>
      <c r="B61" s="5" t="s">
        <v>78</v>
      </c>
      <c r="C61" s="6" t="s">
        <v>257</v>
      </c>
      <c r="D61" s="6">
        <v>0</v>
      </c>
      <c r="E61" s="6">
        <v>1</v>
      </c>
    </row>
    <row r="62" spans="1:5" hidden="1" outlineLevel="2" x14ac:dyDescent="0.2">
      <c r="B62" s="14" t="s">
        <v>283</v>
      </c>
      <c r="C62" s="6" t="s">
        <v>257</v>
      </c>
      <c r="D62" s="6">
        <v>1</v>
      </c>
      <c r="E62" s="6">
        <v>2</v>
      </c>
    </row>
    <row r="63" spans="1:5" hidden="1" outlineLevel="2" x14ac:dyDescent="0.2">
      <c r="B63" s="14" t="s">
        <v>284</v>
      </c>
      <c r="C63" s="6" t="s">
        <v>257</v>
      </c>
      <c r="D63" s="6">
        <v>1</v>
      </c>
      <c r="E63" s="6">
        <v>2</v>
      </c>
    </row>
    <row r="64" spans="1:5" hidden="1" outlineLevel="2" x14ac:dyDescent="0.2">
      <c r="B64" s="14" t="s">
        <v>285</v>
      </c>
      <c r="C64" s="6" t="s">
        <v>257</v>
      </c>
      <c r="D64" s="6">
        <v>1</v>
      </c>
      <c r="E64" s="6">
        <v>2</v>
      </c>
    </row>
    <row r="65" spans="1:5" hidden="1" outlineLevel="2" x14ac:dyDescent="0.2">
      <c r="B65" s="14" t="s">
        <v>286</v>
      </c>
      <c r="C65" s="6" t="s">
        <v>257</v>
      </c>
      <c r="D65" s="6">
        <v>1</v>
      </c>
      <c r="E65" s="6">
        <v>2</v>
      </c>
    </row>
    <row r="66" spans="1:5" hidden="1" outlineLevel="2" x14ac:dyDescent="0.2">
      <c r="B66" s="14" t="s">
        <v>287</v>
      </c>
      <c r="C66" s="6" t="s">
        <v>257</v>
      </c>
      <c r="D66" s="6">
        <v>1</v>
      </c>
      <c r="E66" s="6">
        <v>2</v>
      </c>
    </row>
    <row r="67" spans="1:5" hidden="1" outlineLevel="2" x14ac:dyDescent="0.2">
      <c r="B67" s="14" t="s">
        <v>288</v>
      </c>
      <c r="C67" s="6" t="s">
        <v>257</v>
      </c>
      <c r="D67" s="6">
        <v>1</v>
      </c>
      <c r="E67" s="6">
        <v>2</v>
      </c>
    </row>
    <row r="68" spans="1:5" hidden="1" outlineLevel="2" x14ac:dyDescent="0.2">
      <c r="B68" s="14" t="s">
        <v>289</v>
      </c>
      <c r="C68" s="6" t="s">
        <v>257</v>
      </c>
      <c r="D68" s="6">
        <v>1</v>
      </c>
      <c r="E68" s="6">
        <v>2</v>
      </c>
    </row>
    <row r="69" spans="1:5" hidden="1" outlineLevel="2" x14ac:dyDescent="0.2">
      <c r="A69" s="6">
        <v>56</v>
      </c>
      <c r="B69" s="5" t="s">
        <v>79</v>
      </c>
      <c r="C69" s="6" t="s">
        <v>257</v>
      </c>
      <c r="D69" s="6">
        <v>0</v>
      </c>
      <c r="E69" s="6">
        <v>1</v>
      </c>
    </row>
    <row r="70" spans="1:5" hidden="1" outlineLevel="2" x14ac:dyDescent="0.2">
      <c r="A70" s="6">
        <v>57</v>
      </c>
      <c r="B70" s="5" t="s">
        <v>80</v>
      </c>
      <c r="C70" s="6" t="s">
        <v>257</v>
      </c>
      <c r="D70" s="6">
        <v>0</v>
      </c>
      <c r="E70" s="6">
        <v>2</v>
      </c>
    </row>
    <row r="71" spans="1:5" hidden="1" outlineLevel="2" x14ac:dyDescent="0.2">
      <c r="A71" s="6">
        <v>58</v>
      </c>
      <c r="B71" s="5" t="s">
        <v>81</v>
      </c>
      <c r="C71" s="6" t="s">
        <v>257</v>
      </c>
      <c r="D71" s="6">
        <v>0</v>
      </c>
      <c r="E71" s="6">
        <v>2</v>
      </c>
    </row>
    <row r="72" spans="1:5" ht="30" hidden="1" outlineLevel="2" x14ac:dyDescent="0.2">
      <c r="A72" s="6">
        <v>59</v>
      </c>
      <c r="B72" s="5" t="s">
        <v>82</v>
      </c>
      <c r="C72" s="6" t="s">
        <v>257</v>
      </c>
      <c r="D72" s="6">
        <v>0</v>
      </c>
      <c r="E72" s="6">
        <v>2</v>
      </c>
    </row>
    <row r="73" spans="1:5" ht="30" hidden="1" outlineLevel="2" x14ac:dyDescent="0.2">
      <c r="A73" s="6">
        <v>60</v>
      </c>
      <c r="B73" s="5" t="s">
        <v>83</v>
      </c>
      <c r="C73" s="6" t="s">
        <v>258</v>
      </c>
      <c r="D73" s="6">
        <v>-7</v>
      </c>
      <c r="E73" s="6">
        <v>1</v>
      </c>
    </row>
    <row r="74" spans="1:5" hidden="1" outlineLevel="1" collapsed="1" x14ac:dyDescent="0.2">
      <c r="A74" s="6">
        <v>61</v>
      </c>
      <c r="B74" s="9" t="s">
        <v>84</v>
      </c>
      <c r="C74" s="9" t="s">
        <v>259</v>
      </c>
      <c r="D74" s="9">
        <f t="shared" ref="D74:E74" si="3">SUM(D58:D73)</f>
        <v>2</v>
      </c>
      <c r="E74" s="9">
        <f t="shared" si="3"/>
        <v>36</v>
      </c>
    </row>
    <row r="75" spans="1:5" hidden="1" outlineLevel="1" x14ac:dyDescent="0.2">
      <c r="A75" s="12" t="s">
        <v>268</v>
      </c>
      <c r="B75" s="18" t="s">
        <v>268</v>
      </c>
      <c r="C75" s="13"/>
      <c r="D75" s="13"/>
      <c r="E75" s="13"/>
    </row>
    <row r="76" spans="1:5" hidden="1" outlineLevel="2" x14ac:dyDescent="0.2">
      <c r="A76" s="6">
        <v>62</v>
      </c>
      <c r="B76" s="5" t="s">
        <v>85</v>
      </c>
      <c r="C76" s="6" t="s">
        <v>256</v>
      </c>
      <c r="D76" s="6">
        <v>0</v>
      </c>
      <c r="E76" s="6">
        <v>1</v>
      </c>
    </row>
    <row r="77" spans="1:5" hidden="1" outlineLevel="2" x14ac:dyDescent="0.2">
      <c r="A77" s="6">
        <v>63</v>
      </c>
      <c r="B77" s="5" t="s">
        <v>86</v>
      </c>
      <c r="C77" s="6" t="s">
        <v>258</v>
      </c>
      <c r="D77" s="6">
        <v>0</v>
      </c>
      <c r="E77" s="6">
        <v>7</v>
      </c>
    </row>
    <row r="78" spans="1:5" hidden="1" outlineLevel="2" x14ac:dyDescent="0.2">
      <c r="A78" s="6">
        <v>64</v>
      </c>
      <c r="B78" s="5" t="s">
        <v>87</v>
      </c>
      <c r="C78" s="6" t="s">
        <v>256</v>
      </c>
      <c r="D78" s="6">
        <v>0</v>
      </c>
      <c r="E78" s="6">
        <v>2</v>
      </c>
    </row>
    <row r="79" spans="1:5" hidden="1" outlineLevel="2" x14ac:dyDescent="0.2">
      <c r="A79" s="6">
        <v>65</v>
      </c>
      <c r="B79" s="5" t="s">
        <v>88</v>
      </c>
      <c r="C79" s="6" t="s">
        <v>256</v>
      </c>
      <c r="D79" s="6">
        <v>0</v>
      </c>
      <c r="E79" s="6">
        <v>2</v>
      </c>
    </row>
    <row r="80" spans="1:5" hidden="1" outlineLevel="2" x14ac:dyDescent="0.2">
      <c r="A80" s="6">
        <v>66</v>
      </c>
      <c r="B80" s="5" t="s">
        <v>89</v>
      </c>
      <c r="C80" s="6" t="s">
        <v>256</v>
      </c>
      <c r="D80" s="6">
        <v>0</v>
      </c>
      <c r="E80" s="6">
        <v>2</v>
      </c>
    </row>
    <row r="81" spans="1:5" hidden="1" outlineLevel="2" x14ac:dyDescent="0.2">
      <c r="A81" s="6">
        <v>67</v>
      </c>
      <c r="B81" s="5" t="s">
        <v>90</v>
      </c>
      <c r="C81" s="6" t="s">
        <v>256</v>
      </c>
      <c r="D81" s="6">
        <v>1</v>
      </c>
      <c r="E81" s="6">
        <v>2</v>
      </c>
    </row>
    <row r="82" spans="1:5" hidden="1" outlineLevel="2" x14ac:dyDescent="0.2">
      <c r="A82" s="6">
        <v>68</v>
      </c>
      <c r="B82" s="5" t="s">
        <v>91</v>
      </c>
      <c r="C82" s="6" t="s">
        <v>256</v>
      </c>
      <c r="D82" s="6">
        <v>0</v>
      </c>
      <c r="E82" s="6">
        <v>1</v>
      </c>
    </row>
    <row r="83" spans="1:5" hidden="1" outlineLevel="2" x14ac:dyDescent="0.2">
      <c r="A83" s="6">
        <v>69</v>
      </c>
      <c r="B83" s="5" t="s">
        <v>92</v>
      </c>
      <c r="C83" s="6" t="s">
        <v>256</v>
      </c>
      <c r="D83" s="6">
        <v>0</v>
      </c>
      <c r="E83" s="6">
        <v>1</v>
      </c>
    </row>
    <row r="84" spans="1:5" ht="30" hidden="1" outlineLevel="2" x14ac:dyDescent="0.2">
      <c r="A84" s="6">
        <v>70</v>
      </c>
      <c r="B84" s="5" t="s">
        <v>93</v>
      </c>
      <c r="C84" s="6" t="s">
        <v>256</v>
      </c>
      <c r="D84" s="6">
        <v>0</v>
      </c>
      <c r="E84" s="6">
        <v>1</v>
      </c>
    </row>
    <row r="85" spans="1:5" hidden="1" outlineLevel="1" collapsed="1" x14ac:dyDescent="0.2">
      <c r="A85" s="6">
        <v>71</v>
      </c>
      <c r="B85" s="9" t="s">
        <v>94</v>
      </c>
      <c r="C85" s="9" t="s">
        <v>259</v>
      </c>
      <c r="D85" s="9">
        <f>SUM(D76:D84)</f>
        <v>1</v>
      </c>
      <c r="E85" s="9">
        <f>SUM(E76:E84)</f>
        <v>19</v>
      </c>
    </row>
    <row r="86" spans="1:5" hidden="1" outlineLevel="1" x14ac:dyDescent="0.2">
      <c r="A86" s="7"/>
      <c r="B86" s="8" t="s">
        <v>269</v>
      </c>
      <c r="C86" s="7"/>
      <c r="D86" s="7"/>
      <c r="E86" s="7"/>
    </row>
    <row r="87" spans="1:5" hidden="1" outlineLevel="2" x14ac:dyDescent="0.2">
      <c r="A87" s="6">
        <v>72</v>
      </c>
      <c r="B87" s="5" t="s">
        <v>95</v>
      </c>
      <c r="C87" s="6" t="s">
        <v>257</v>
      </c>
      <c r="D87" s="6">
        <v>1</v>
      </c>
      <c r="E87" s="6">
        <v>3</v>
      </c>
    </row>
    <row r="88" spans="1:5" hidden="1" outlineLevel="2" x14ac:dyDescent="0.2">
      <c r="A88" s="6">
        <v>73</v>
      </c>
      <c r="B88" s="5" t="s">
        <v>96</v>
      </c>
      <c r="C88" s="6" t="s">
        <v>257</v>
      </c>
      <c r="D88" s="6">
        <v>1</v>
      </c>
      <c r="E88" s="6">
        <v>4</v>
      </c>
    </row>
    <row r="89" spans="1:5" ht="30" hidden="1" outlineLevel="2" x14ac:dyDescent="0.2">
      <c r="A89" s="6">
        <v>74</v>
      </c>
      <c r="B89" s="5" t="s">
        <v>97</v>
      </c>
      <c r="C89" s="6" t="s">
        <v>257</v>
      </c>
      <c r="D89" s="6">
        <v>0</v>
      </c>
      <c r="E89" s="6">
        <v>3</v>
      </c>
    </row>
    <row r="90" spans="1:5" hidden="1" outlineLevel="2" x14ac:dyDescent="0.2">
      <c r="A90" s="6">
        <v>75</v>
      </c>
      <c r="B90" s="5" t="s">
        <v>98</v>
      </c>
      <c r="C90" s="6" t="s">
        <v>257</v>
      </c>
      <c r="D90" s="6">
        <v>0</v>
      </c>
      <c r="E90" s="6">
        <v>4</v>
      </c>
    </row>
    <row r="91" spans="1:5" hidden="1" outlineLevel="2" x14ac:dyDescent="0.2">
      <c r="A91" s="6">
        <v>76</v>
      </c>
      <c r="B91" s="5" t="s">
        <v>99</v>
      </c>
      <c r="C91" s="6" t="s">
        <v>257</v>
      </c>
      <c r="D91" s="6">
        <v>0</v>
      </c>
      <c r="E91" s="6">
        <v>3</v>
      </c>
    </row>
    <row r="92" spans="1:5" hidden="1" outlineLevel="2" x14ac:dyDescent="0.2">
      <c r="A92" s="6">
        <v>77</v>
      </c>
      <c r="B92" s="5" t="s">
        <v>100</v>
      </c>
      <c r="C92" s="6" t="s">
        <v>257</v>
      </c>
      <c r="D92" s="6">
        <v>0</v>
      </c>
      <c r="E92" s="6">
        <v>4</v>
      </c>
    </row>
    <row r="93" spans="1:5" hidden="1" outlineLevel="2" x14ac:dyDescent="0.2">
      <c r="A93" s="6">
        <v>78</v>
      </c>
      <c r="B93" s="5" t="s">
        <v>101</v>
      </c>
      <c r="C93" s="6" t="s">
        <v>257</v>
      </c>
      <c r="D93" s="6">
        <v>0</v>
      </c>
      <c r="E93" s="6">
        <v>3</v>
      </c>
    </row>
    <row r="94" spans="1:5" hidden="1" outlineLevel="2" x14ac:dyDescent="0.2">
      <c r="A94" s="6">
        <v>79</v>
      </c>
      <c r="B94" s="5" t="s">
        <v>102</v>
      </c>
      <c r="C94" s="6" t="s">
        <v>257</v>
      </c>
      <c r="D94" s="6">
        <v>0</v>
      </c>
      <c r="E94" s="6">
        <v>3</v>
      </c>
    </row>
    <row r="95" spans="1:5" hidden="1" outlineLevel="1" collapsed="1" x14ac:dyDescent="0.2">
      <c r="A95" s="6">
        <v>80</v>
      </c>
      <c r="B95" s="9" t="s">
        <v>103</v>
      </c>
      <c r="C95" s="9" t="s">
        <v>259</v>
      </c>
      <c r="D95" s="9">
        <f>SUM(D87:D94)</f>
        <v>2</v>
      </c>
      <c r="E95" s="9">
        <f>SUM(E87:E94)</f>
        <v>27</v>
      </c>
    </row>
    <row r="96" spans="1:5" hidden="1" outlineLevel="1" x14ac:dyDescent="0.2">
      <c r="A96" s="7"/>
      <c r="B96" s="8" t="s">
        <v>270</v>
      </c>
      <c r="C96" s="7"/>
      <c r="D96" s="7"/>
      <c r="E96" s="7"/>
    </row>
    <row r="97" spans="1:5" hidden="1" outlineLevel="2" x14ac:dyDescent="0.2">
      <c r="A97" s="6">
        <v>81</v>
      </c>
      <c r="B97" s="5" t="s">
        <v>104</v>
      </c>
      <c r="C97" s="6" t="s">
        <v>256</v>
      </c>
      <c r="D97" s="6">
        <v>0</v>
      </c>
      <c r="E97" s="6">
        <v>2</v>
      </c>
    </row>
    <row r="98" spans="1:5" hidden="1" outlineLevel="2" x14ac:dyDescent="0.2">
      <c r="A98" s="6">
        <v>82</v>
      </c>
      <c r="B98" s="5" t="s">
        <v>105</v>
      </c>
      <c r="C98" s="6" t="s">
        <v>256</v>
      </c>
      <c r="D98" s="6">
        <v>0</v>
      </c>
      <c r="E98" s="6">
        <v>2</v>
      </c>
    </row>
    <row r="99" spans="1:5" hidden="1" outlineLevel="2" x14ac:dyDescent="0.2">
      <c r="A99" s="6">
        <v>83</v>
      </c>
      <c r="B99" s="5" t="s">
        <v>106</v>
      </c>
      <c r="C99" s="6" t="s">
        <v>256</v>
      </c>
      <c r="D99" s="6">
        <v>0</v>
      </c>
      <c r="E99" s="6">
        <v>2</v>
      </c>
    </row>
    <row r="100" spans="1:5" hidden="1" outlineLevel="2" x14ac:dyDescent="0.2">
      <c r="A100" s="6">
        <v>84</v>
      </c>
      <c r="B100" s="5" t="s">
        <v>107</v>
      </c>
      <c r="C100" s="6" t="s">
        <v>256</v>
      </c>
      <c r="D100" s="6">
        <v>0</v>
      </c>
      <c r="E100" s="6">
        <v>2</v>
      </c>
    </row>
    <row r="101" spans="1:5" hidden="1" outlineLevel="2" x14ac:dyDescent="0.2">
      <c r="A101" s="6">
        <v>85</v>
      </c>
      <c r="B101" s="5" t="s">
        <v>108</v>
      </c>
      <c r="C101" s="6" t="s">
        <v>256</v>
      </c>
      <c r="D101" s="6">
        <v>0</v>
      </c>
      <c r="E101" s="6">
        <v>2</v>
      </c>
    </row>
    <row r="102" spans="1:5" ht="30" hidden="1" outlineLevel="2" x14ac:dyDescent="0.2">
      <c r="A102" s="6">
        <v>86</v>
      </c>
      <c r="B102" s="5" t="s">
        <v>109</v>
      </c>
      <c r="C102" s="6" t="s">
        <v>256</v>
      </c>
      <c r="D102" s="6">
        <v>-1</v>
      </c>
      <c r="E102" s="6">
        <v>1</v>
      </c>
    </row>
    <row r="103" spans="1:5" hidden="1" outlineLevel="1" collapsed="1" x14ac:dyDescent="0.2">
      <c r="A103" s="6">
        <v>87</v>
      </c>
      <c r="B103" s="9" t="s">
        <v>110</v>
      </c>
      <c r="C103" s="9" t="s">
        <v>259</v>
      </c>
      <c r="D103" s="9">
        <f>SUM(D97:D102)</f>
        <v>-1</v>
      </c>
      <c r="E103" s="9">
        <f>SUM(E97:E102)</f>
        <v>11</v>
      </c>
    </row>
    <row r="104" spans="1:5" hidden="1" outlineLevel="1" x14ac:dyDescent="0.2">
      <c r="A104" s="7"/>
      <c r="B104" s="8" t="s">
        <v>271</v>
      </c>
      <c r="C104" s="7"/>
      <c r="D104" s="7"/>
      <c r="E104" s="7"/>
    </row>
    <row r="105" spans="1:5" hidden="1" outlineLevel="2" x14ac:dyDescent="0.2">
      <c r="A105" s="6">
        <v>88</v>
      </c>
      <c r="B105" s="5" t="s">
        <v>111</v>
      </c>
      <c r="C105" s="6" t="s">
        <v>257</v>
      </c>
      <c r="D105" s="6">
        <v>0</v>
      </c>
      <c r="E105" s="6">
        <v>3</v>
      </c>
    </row>
    <row r="106" spans="1:5" ht="30" hidden="1" outlineLevel="2" x14ac:dyDescent="0.2">
      <c r="A106" s="6">
        <v>89</v>
      </c>
      <c r="B106" s="5" t="s">
        <v>112</v>
      </c>
      <c r="C106" s="6" t="s">
        <v>256</v>
      </c>
      <c r="D106" s="6">
        <v>0</v>
      </c>
      <c r="E106" s="6">
        <v>2</v>
      </c>
    </row>
    <row r="107" spans="1:5" hidden="1" outlineLevel="2" x14ac:dyDescent="0.2">
      <c r="A107" s="6">
        <v>90</v>
      </c>
      <c r="B107" s="5" t="s">
        <v>113</v>
      </c>
      <c r="C107" s="6" t="s">
        <v>257</v>
      </c>
      <c r="D107" s="6">
        <v>0</v>
      </c>
      <c r="E107" s="6">
        <v>3</v>
      </c>
    </row>
    <row r="108" spans="1:5" hidden="1" outlineLevel="2" x14ac:dyDescent="0.2">
      <c r="A108" s="6">
        <v>91</v>
      </c>
      <c r="B108" s="5" t="s">
        <v>114</v>
      </c>
      <c r="C108" s="6" t="s">
        <v>257</v>
      </c>
      <c r="D108" s="6">
        <v>0</v>
      </c>
      <c r="E108" s="6">
        <v>4</v>
      </c>
    </row>
    <row r="109" spans="1:5" hidden="1" outlineLevel="2" x14ac:dyDescent="0.2">
      <c r="A109" s="6">
        <v>92</v>
      </c>
      <c r="B109" s="5" t="s">
        <v>115</v>
      </c>
      <c r="C109" s="6" t="s">
        <v>256</v>
      </c>
      <c r="D109" s="6">
        <v>0</v>
      </c>
      <c r="E109" s="6">
        <v>1</v>
      </c>
    </row>
    <row r="110" spans="1:5" hidden="1" outlineLevel="2" x14ac:dyDescent="0.2">
      <c r="A110" s="6">
        <v>93</v>
      </c>
      <c r="B110" s="5" t="s">
        <v>116</v>
      </c>
      <c r="C110" s="6" t="s">
        <v>256</v>
      </c>
      <c r="D110" s="6">
        <v>0</v>
      </c>
      <c r="E110" s="6">
        <v>2</v>
      </c>
    </row>
    <row r="111" spans="1:5" hidden="1" outlineLevel="2" x14ac:dyDescent="0.2">
      <c r="A111" s="6">
        <v>94</v>
      </c>
      <c r="B111" s="5" t="s">
        <v>117</v>
      </c>
      <c r="C111" s="6" t="s">
        <v>256</v>
      </c>
      <c r="D111" s="6">
        <v>0</v>
      </c>
      <c r="E111" s="6">
        <v>2</v>
      </c>
    </row>
    <row r="112" spans="1:5" hidden="1" outlineLevel="2" x14ac:dyDescent="0.2">
      <c r="A112" s="6">
        <v>95</v>
      </c>
      <c r="B112" s="5" t="s">
        <v>118</v>
      </c>
      <c r="C112" s="6" t="s">
        <v>256</v>
      </c>
      <c r="D112" s="6">
        <v>0</v>
      </c>
      <c r="E112" s="6">
        <v>2</v>
      </c>
    </row>
    <row r="113" spans="1:5" hidden="1" outlineLevel="1" collapsed="1" x14ac:dyDescent="0.2">
      <c r="A113" s="6">
        <v>96</v>
      </c>
      <c r="B113" s="9" t="s">
        <v>119</v>
      </c>
      <c r="C113" s="9" t="s">
        <v>259</v>
      </c>
      <c r="D113" s="9">
        <f>SUM(D105:D112)</f>
        <v>0</v>
      </c>
      <c r="E113" s="9">
        <f>SUM(E105:E112)</f>
        <v>19</v>
      </c>
    </row>
    <row r="114" spans="1:5" hidden="1" outlineLevel="1" x14ac:dyDescent="0.2">
      <c r="A114" s="7"/>
      <c r="B114" s="8" t="s">
        <v>272</v>
      </c>
      <c r="C114" s="7"/>
      <c r="D114" s="7"/>
      <c r="E114" s="7"/>
    </row>
    <row r="115" spans="1:5" hidden="1" outlineLevel="2" x14ac:dyDescent="0.2">
      <c r="A115" s="6">
        <v>97</v>
      </c>
      <c r="B115" s="5" t="s">
        <v>120</v>
      </c>
      <c r="C115" s="6" t="s">
        <v>256</v>
      </c>
      <c r="D115" s="6">
        <v>1</v>
      </c>
      <c r="E115" s="6">
        <v>2</v>
      </c>
    </row>
    <row r="116" spans="1:5" hidden="1" outlineLevel="2" x14ac:dyDescent="0.2">
      <c r="A116" s="6">
        <v>98</v>
      </c>
      <c r="B116" s="5" t="s">
        <v>121</v>
      </c>
      <c r="C116" s="6" t="s">
        <v>256</v>
      </c>
      <c r="D116" s="6">
        <v>0</v>
      </c>
      <c r="E116" s="6">
        <v>2</v>
      </c>
    </row>
    <row r="117" spans="1:5" hidden="1" outlineLevel="2" x14ac:dyDescent="0.2">
      <c r="A117" s="6">
        <v>99</v>
      </c>
      <c r="B117" s="5" t="s">
        <v>122</v>
      </c>
      <c r="C117" s="6" t="s">
        <v>257</v>
      </c>
      <c r="D117" s="6">
        <v>0</v>
      </c>
      <c r="E117" s="6">
        <v>2</v>
      </c>
    </row>
    <row r="118" spans="1:5" hidden="1" outlineLevel="2" x14ac:dyDescent="0.2">
      <c r="A118" s="6">
        <v>100</v>
      </c>
      <c r="B118" s="5" t="s">
        <v>123</v>
      </c>
      <c r="C118" s="6" t="s">
        <v>256</v>
      </c>
      <c r="D118" s="6">
        <v>0</v>
      </c>
      <c r="E118" s="6">
        <v>3</v>
      </c>
    </row>
    <row r="119" spans="1:5" hidden="1" outlineLevel="2" x14ac:dyDescent="0.2">
      <c r="A119" s="6">
        <v>101</v>
      </c>
      <c r="B119" s="5" t="s">
        <v>124</v>
      </c>
      <c r="C119" s="6" t="s">
        <v>257</v>
      </c>
      <c r="D119" s="6">
        <v>0</v>
      </c>
      <c r="E119" s="6">
        <v>4</v>
      </c>
    </row>
    <row r="120" spans="1:5" ht="30" hidden="1" outlineLevel="2" x14ac:dyDescent="0.2">
      <c r="A120" s="6">
        <v>102</v>
      </c>
      <c r="B120" s="5" t="s">
        <v>125</v>
      </c>
      <c r="C120" s="6" t="s">
        <v>258</v>
      </c>
      <c r="D120" s="6">
        <v>1</v>
      </c>
      <c r="E120" s="6">
        <v>6</v>
      </c>
    </row>
    <row r="121" spans="1:5" hidden="1" outlineLevel="1" collapsed="1" x14ac:dyDescent="0.2">
      <c r="A121" s="6">
        <v>103</v>
      </c>
      <c r="B121" s="9" t="s">
        <v>126</v>
      </c>
      <c r="C121" s="9" t="s">
        <v>259</v>
      </c>
      <c r="D121" s="9">
        <f>SUM(D115:D120)</f>
        <v>2</v>
      </c>
      <c r="E121" s="9">
        <f>SUM(E115:E120)</f>
        <v>19</v>
      </c>
    </row>
    <row r="122" spans="1:5" hidden="1" outlineLevel="1" x14ac:dyDescent="0.2">
      <c r="A122" s="7"/>
      <c r="B122" s="8" t="s">
        <v>273</v>
      </c>
      <c r="C122" s="7"/>
      <c r="D122" s="7"/>
      <c r="E122" s="7"/>
    </row>
    <row r="123" spans="1:5" hidden="1" outlineLevel="2" x14ac:dyDescent="0.2">
      <c r="A123" s="6">
        <v>104</v>
      </c>
      <c r="B123" s="5" t="s">
        <v>127</v>
      </c>
      <c r="C123" s="6" t="s">
        <v>257</v>
      </c>
      <c r="D123" s="6">
        <v>1</v>
      </c>
      <c r="E123" s="6">
        <v>2</v>
      </c>
    </row>
    <row r="124" spans="1:5" hidden="1" outlineLevel="2" x14ac:dyDescent="0.2">
      <c r="A124" s="6">
        <v>105</v>
      </c>
      <c r="B124" s="5" t="s">
        <v>128</v>
      </c>
      <c r="C124" s="6" t="s">
        <v>256</v>
      </c>
      <c r="D124" s="6">
        <v>1</v>
      </c>
      <c r="E124" s="6">
        <v>2</v>
      </c>
    </row>
    <row r="125" spans="1:5" hidden="1" outlineLevel="2" x14ac:dyDescent="0.2">
      <c r="A125" s="6">
        <v>106</v>
      </c>
      <c r="B125" s="5" t="s">
        <v>129</v>
      </c>
      <c r="C125" s="6" t="s">
        <v>257</v>
      </c>
      <c r="D125" s="6">
        <v>0</v>
      </c>
      <c r="E125" s="6">
        <v>4</v>
      </c>
    </row>
    <row r="126" spans="1:5" hidden="1" outlineLevel="2" x14ac:dyDescent="0.2">
      <c r="A126" s="6">
        <v>107</v>
      </c>
      <c r="B126" s="5" t="s">
        <v>130</v>
      </c>
      <c r="C126" s="6" t="s">
        <v>256</v>
      </c>
      <c r="D126" s="6">
        <v>1</v>
      </c>
      <c r="E126" s="6">
        <v>2</v>
      </c>
    </row>
    <row r="127" spans="1:5" hidden="1" outlineLevel="2" x14ac:dyDescent="0.2">
      <c r="A127" s="6">
        <v>108</v>
      </c>
      <c r="B127" s="5" t="s">
        <v>131</v>
      </c>
      <c r="C127" s="6" t="s">
        <v>256</v>
      </c>
      <c r="D127" s="6">
        <v>1</v>
      </c>
      <c r="E127" s="6">
        <v>2</v>
      </c>
    </row>
    <row r="128" spans="1:5" hidden="1" outlineLevel="2" x14ac:dyDescent="0.2">
      <c r="A128" s="6">
        <v>109</v>
      </c>
      <c r="B128" s="5" t="s">
        <v>132</v>
      </c>
      <c r="C128" s="6" t="s">
        <v>257</v>
      </c>
      <c r="D128" s="6">
        <v>0</v>
      </c>
      <c r="E128" s="6">
        <v>2</v>
      </c>
    </row>
    <row r="129" spans="1:5" hidden="1" outlineLevel="2" x14ac:dyDescent="0.2">
      <c r="A129" s="6">
        <v>110</v>
      </c>
      <c r="B129" s="5" t="s">
        <v>133</v>
      </c>
      <c r="C129" s="6" t="s">
        <v>257</v>
      </c>
      <c r="D129" s="6">
        <v>0</v>
      </c>
      <c r="E129" s="6">
        <v>5</v>
      </c>
    </row>
    <row r="130" spans="1:5" hidden="1" outlineLevel="2" x14ac:dyDescent="0.2">
      <c r="A130" s="6">
        <v>111</v>
      </c>
      <c r="B130" s="5" t="s">
        <v>134</v>
      </c>
      <c r="C130" s="6" t="s">
        <v>256</v>
      </c>
      <c r="D130" s="6">
        <v>0</v>
      </c>
      <c r="E130" s="6">
        <v>2</v>
      </c>
    </row>
    <row r="131" spans="1:5" hidden="1" outlineLevel="2" x14ac:dyDescent="0.2">
      <c r="A131" s="6">
        <v>112</v>
      </c>
      <c r="B131" s="5" t="s">
        <v>135</v>
      </c>
      <c r="C131" s="6" t="s">
        <v>258</v>
      </c>
      <c r="D131" s="6">
        <v>0</v>
      </c>
      <c r="E131" s="6">
        <v>4</v>
      </c>
    </row>
    <row r="132" spans="1:5" hidden="1" outlineLevel="2" x14ac:dyDescent="0.2">
      <c r="A132" s="6">
        <v>113</v>
      </c>
      <c r="B132" s="5" t="s">
        <v>136</v>
      </c>
      <c r="C132" s="6" t="s">
        <v>256</v>
      </c>
      <c r="D132" s="6">
        <v>0</v>
      </c>
      <c r="E132" s="6">
        <v>2</v>
      </c>
    </row>
    <row r="133" spans="1:5" hidden="1" outlineLevel="2" x14ac:dyDescent="0.2">
      <c r="A133" s="6">
        <v>114</v>
      </c>
      <c r="B133" s="5" t="s">
        <v>137</v>
      </c>
      <c r="C133" s="6" t="s">
        <v>256</v>
      </c>
      <c r="D133" s="6">
        <v>0</v>
      </c>
      <c r="E133" s="6">
        <v>2</v>
      </c>
    </row>
    <row r="134" spans="1:5" hidden="1" outlineLevel="2" x14ac:dyDescent="0.2">
      <c r="A134" s="6">
        <v>115</v>
      </c>
      <c r="B134" s="5" t="s">
        <v>138</v>
      </c>
      <c r="C134" s="6" t="s">
        <v>256</v>
      </c>
      <c r="D134" s="6">
        <v>0</v>
      </c>
      <c r="E134" s="6">
        <v>2</v>
      </c>
    </row>
    <row r="135" spans="1:5" hidden="1" outlineLevel="2" x14ac:dyDescent="0.2">
      <c r="A135" s="6">
        <v>116</v>
      </c>
      <c r="B135" s="5" t="s">
        <v>139</v>
      </c>
      <c r="C135" s="6" t="s">
        <v>257</v>
      </c>
      <c r="D135" s="6">
        <v>0</v>
      </c>
      <c r="E135" s="6">
        <v>3</v>
      </c>
    </row>
    <row r="136" spans="1:5" hidden="1" outlineLevel="2" x14ac:dyDescent="0.2">
      <c r="A136" s="6">
        <v>117</v>
      </c>
      <c r="B136" s="5" t="s">
        <v>140</v>
      </c>
      <c r="C136" s="6" t="s">
        <v>256</v>
      </c>
      <c r="D136" s="6">
        <v>1</v>
      </c>
      <c r="E136" s="6">
        <v>2</v>
      </c>
    </row>
    <row r="137" spans="1:5" hidden="1" outlineLevel="1" collapsed="1" x14ac:dyDescent="0.2">
      <c r="A137" s="6">
        <v>118</v>
      </c>
      <c r="B137" s="9" t="s">
        <v>141</v>
      </c>
      <c r="C137" s="9" t="s">
        <v>259</v>
      </c>
      <c r="D137" s="9">
        <f>SUM(D123:D136)</f>
        <v>5</v>
      </c>
      <c r="E137" s="9">
        <f>SUM(E123:E136)</f>
        <v>36</v>
      </c>
    </row>
    <row r="138" spans="1:5" hidden="1" outlineLevel="1" x14ac:dyDescent="0.2">
      <c r="A138" s="7"/>
      <c r="B138" s="8" t="s">
        <v>274</v>
      </c>
      <c r="C138" s="7"/>
      <c r="D138" s="17"/>
      <c r="E138" s="17"/>
    </row>
    <row r="139" spans="1:5" hidden="1" outlineLevel="2" x14ac:dyDescent="0.2">
      <c r="A139" s="6">
        <v>119</v>
      </c>
      <c r="B139" s="5" t="s">
        <v>142</v>
      </c>
      <c r="C139" s="6" t="s">
        <v>257</v>
      </c>
      <c r="D139" s="6">
        <v>0</v>
      </c>
      <c r="E139" s="6">
        <v>3</v>
      </c>
    </row>
    <row r="140" spans="1:5" hidden="1" outlineLevel="2" x14ac:dyDescent="0.2">
      <c r="A140" s="6">
        <v>120</v>
      </c>
      <c r="B140" s="5" t="s">
        <v>143</v>
      </c>
      <c r="C140" s="6" t="s">
        <v>257</v>
      </c>
      <c r="D140" s="6">
        <v>0</v>
      </c>
      <c r="E140" s="6">
        <v>5</v>
      </c>
    </row>
    <row r="141" spans="1:5" hidden="1" outlineLevel="2" x14ac:dyDescent="0.2">
      <c r="A141" s="6">
        <v>121</v>
      </c>
      <c r="B141" s="5" t="s">
        <v>144</v>
      </c>
      <c r="C141" s="6" t="s">
        <v>257</v>
      </c>
      <c r="D141" s="6">
        <v>1</v>
      </c>
      <c r="E141" s="6">
        <v>4</v>
      </c>
    </row>
    <row r="142" spans="1:5" hidden="1" outlineLevel="2" x14ac:dyDescent="0.2">
      <c r="A142" s="6">
        <v>122</v>
      </c>
      <c r="B142" s="5" t="s">
        <v>145</v>
      </c>
      <c r="C142" s="6" t="s">
        <v>256</v>
      </c>
      <c r="D142" s="6">
        <v>0</v>
      </c>
      <c r="E142" s="6">
        <v>2</v>
      </c>
    </row>
    <row r="143" spans="1:5" hidden="1" outlineLevel="2" x14ac:dyDescent="0.2">
      <c r="A143" s="6">
        <v>123</v>
      </c>
      <c r="B143" s="5" t="s">
        <v>146</v>
      </c>
      <c r="C143" s="6" t="s">
        <v>256</v>
      </c>
      <c r="D143" s="6">
        <v>1</v>
      </c>
      <c r="E143" s="6">
        <v>2</v>
      </c>
    </row>
    <row r="144" spans="1:5" hidden="1" outlineLevel="2" x14ac:dyDescent="0.2">
      <c r="A144" s="6">
        <v>124</v>
      </c>
      <c r="B144" s="5" t="s">
        <v>147</v>
      </c>
      <c r="C144" s="6" t="s">
        <v>256</v>
      </c>
      <c r="D144" s="6">
        <v>1</v>
      </c>
      <c r="E144" s="6">
        <v>2</v>
      </c>
    </row>
    <row r="145" spans="1:5" ht="30" hidden="1" outlineLevel="2" x14ac:dyDescent="0.2">
      <c r="A145" s="6">
        <v>125</v>
      </c>
      <c r="B145" s="5" t="s">
        <v>148</v>
      </c>
      <c r="C145" s="6" t="s">
        <v>256</v>
      </c>
      <c r="D145" s="6">
        <v>1</v>
      </c>
      <c r="E145" s="6">
        <v>2</v>
      </c>
    </row>
    <row r="146" spans="1:5" hidden="1" outlineLevel="2" x14ac:dyDescent="0.2">
      <c r="A146" s="6">
        <v>126</v>
      </c>
      <c r="B146" s="5" t="s">
        <v>149</v>
      </c>
      <c r="C146" s="6" t="s">
        <v>257</v>
      </c>
      <c r="D146" s="6">
        <v>0</v>
      </c>
      <c r="E146" s="6">
        <v>4</v>
      </c>
    </row>
    <row r="147" spans="1:5" hidden="1" outlineLevel="2" x14ac:dyDescent="0.2">
      <c r="A147" s="6">
        <v>127</v>
      </c>
      <c r="B147" s="5" t="s">
        <v>150</v>
      </c>
      <c r="C147" s="6" t="s">
        <v>256</v>
      </c>
      <c r="D147" s="6">
        <v>0</v>
      </c>
      <c r="E147" s="6">
        <v>1</v>
      </c>
    </row>
    <row r="148" spans="1:5" hidden="1" outlineLevel="1" collapsed="1" x14ac:dyDescent="0.2">
      <c r="A148" s="6">
        <v>128</v>
      </c>
      <c r="B148" s="9" t="s">
        <v>151</v>
      </c>
      <c r="C148" s="9" t="s">
        <v>259</v>
      </c>
      <c r="D148" s="9">
        <f>SUM(D139:D147)</f>
        <v>4</v>
      </c>
      <c r="E148" s="9">
        <f>SUM(E139:E147)</f>
        <v>25</v>
      </c>
    </row>
    <row r="149" spans="1:5" hidden="1" outlineLevel="1" x14ac:dyDescent="0.2">
      <c r="A149" s="7"/>
      <c r="B149" s="8" t="s">
        <v>275</v>
      </c>
      <c r="C149" s="7"/>
      <c r="D149" s="7"/>
      <c r="E149" s="7"/>
    </row>
    <row r="150" spans="1:5" hidden="1" outlineLevel="2" x14ac:dyDescent="0.2">
      <c r="A150" s="6">
        <v>129</v>
      </c>
      <c r="B150" s="5" t="s">
        <v>152</v>
      </c>
      <c r="C150" s="6" t="s">
        <v>257</v>
      </c>
      <c r="D150" s="6">
        <v>0</v>
      </c>
      <c r="E150" s="6">
        <v>3</v>
      </c>
    </row>
    <row r="151" spans="1:5" hidden="1" outlineLevel="2" x14ac:dyDescent="0.2">
      <c r="A151" s="6">
        <v>130</v>
      </c>
      <c r="B151" s="5" t="s">
        <v>153</v>
      </c>
      <c r="C151" s="6" t="s">
        <v>256</v>
      </c>
      <c r="D151" s="6">
        <v>0</v>
      </c>
      <c r="E151" s="6">
        <v>1</v>
      </c>
    </row>
    <row r="152" spans="1:5" hidden="1" outlineLevel="2" x14ac:dyDescent="0.2">
      <c r="A152" s="6">
        <v>131</v>
      </c>
      <c r="B152" s="5" t="s">
        <v>154</v>
      </c>
      <c r="C152" s="6" t="s">
        <v>257</v>
      </c>
      <c r="D152" s="6">
        <v>0</v>
      </c>
      <c r="E152" s="6">
        <v>4</v>
      </c>
    </row>
    <row r="153" spans="1:5" ht="30" hidden="1" outlineLevel="2" x14ac:dyDescent="0.2">
      <c r="A153" s="6">
        <v>132</v>
      </c>
      <c r="B153" s="5" t="s">
        <v>155</v>
      </c>
      <c r="C153" s="6" t="s">
        <v>256</v>
      </c>
      <c r="D153" s="6">
        <v>0</v>
      </c>
      <c r="E153" s="6">
        <v>1</v>
      </c>
    </row>
    <row r="154" spans="1:5" hidden="1" outlineLevel="2" x14ac:dyDescent="0.2">
      <c r="A154" s="6">
        <v>133</v>
      </c>
      <c r="B154" s="5" t="s">
        <v>156</v>
      </c>
      <c r="C154" s="6" t="s">
        <v>256</v>
      </c>
      <c r="D154" s="6">
        <v>0</v>
      </c>
      <c r="E154" s="6">
        <v>1</v>
      </c>
    </row>
    <row r="155" spans="1:5" hidden="1" outlineLevel="2" x14ac:dyDescent="0.2">
      <c r="A155" s="6">
        <v>134</v>
      </c>
      <c r="B155" s="5" t="s">
        <v>157</v>
      </c>
      <c r="C155" s="6" t="s">
        <v>256</v>
      </c>
      <c r="D155" s="6">
        <v>0</v>
      </c>
      <c r="E155" s="6">
        <v>1</v>
      </c>
    </row>
    <row r="156" spans="1:5" hidden="1" outlineLevel="2" x14ac:dyDescent="0.2">
      <c r="A156" s="6">
        <v>135</v>
      </c>
      <c r="B156" s="5" t="s">
        <v>158</v>
      </c>
      <c r="C156" s="6" t="s">
        <v>256</v>
      </c>
      <c r="D156" s="6">
        <v>0</v>
      </c>
      <c r="E156" s="6">
        <v>1</v>
      </c>
    </row>
    <row r="157" spans="1:5" hidden="1" outlineLevel="2" x14ac:dyDescent="0.2">
      <c r="A157" s="6">
        <v>136</v>
      </c>
      <c r="B157" s="5" t="s">
        <v>159</v>
      </c>
      <c r="C157" s="6" t="s">
        <v>256</v>
      </c>
      <c r="D157" s="6">
        <v>0</v>
      </c>
      <c r="E157" s="6">
        <v>1</v>
      </c>
    </row>
    <row r="158" spans="1:5" hidden="1" outlineLevel="2" x14ac:dyDescent="0.2">
      <c r="A158" s="6">
        <v>137</v>
      </c>
      <c r="B158" s="5" t="s">
        <v>160</v>
      </c>
      <c r="C158" s="6" t="s">
        <v>257</v>
      </c>
      <c r="D158" s="6">
        <v>0</v>
      </c>
      <c r="E158" s="6">
        <v>2</v>
      </c>
    </row>
    <row r="159" spans="1:5" hidden="1" outlineLevel="2" x14ac:dyDescent="0.2">
      <c r="A159" s="6">
        <v>138</v>
      </c>
      <c r="B159" s="5" t="s">
        <v>161</v>
      </c>
      <c r="C159" s="6" t="s">
        <v>256</v>
      </c>
      <c r="D159" s="6">
        <v>0</v>
      </c>
      <c r="E159" s="6">
        <v>1</v>
      </c>
    </row>
    <row r="160" spans="1:5" hidden="1" outlineLevel="2" x14ac:dyDescent="0.2">
      <c r="A160" s="6">
        <v>139</v>
      </c>
      <c r="B160" s="5" t="s">
        <v>162</v>
      </c>
      <c r="C160" s="6" t="s">
        <v>257</v>
      </c>
      <c r="D160" s="6">
        <v>0</v>
      </c>
      <c r="E160" s="6">
        <v>3</v>
      </c>
    </row>
    <row r="161" spans="1:5" ht="30" hidden="1" outlineLevel="2" x14ac:dyDescent="0.2">
      <c r="A161" s="6">
        <v>140</v>
      </c>
      <c r="B161" s="5" t="s">
        <v>163</v>
      </c>
      <c r="C161" s="6" t="s">
        <v>260</v>
      </c>
      <c r="D161" s="6">
        <v>1</v>
      </c>
      <c r="E161" s="6">
        <v>4</v>
      </c>
    </row>
    <row r="162" spans="1:5" hidden="1" outlineLevel="1" collapsed="1" x14ac:dyDescent="0.2">
      <c r="A162" s="6">
        <v>141</v>
      </c>
      <c r="B162" s="9" t="s">
        <v>164</v>
      </c>
      <c r="C162" s="9" t="s">
        <v>259</v>
      </c>
      <c r="D162" s="9">
        <f>SUM(D150:D161)</f>
        <v>1</v>
      </c>
      <c r="E162" s="9">
        <f>SUM(E150:E161)</f>
        <v>23</v>
      </c>
    </row>
    <row r="163" spans="1:5" hidden="1" outlineLevel="1" x14ac:dyDescent="0.2">
      <c r="A163" s="7"/>
      <c r="B163" s="8" t="s">
        <v>276</v>
      </c>
      <c r="C163" s="7"/>
      <c r="D163" s="7"/>
      <c r="E163" s="7"/>
    </row>
    <row r="164" spans="1:5" hidden="1" outlineLevel="2" x14ac:dyDescent="0.2">
      <c r="A164" s="6">
        <v>142</v>
      </c>
      <c r="B164" s="5" t="s">
        <v>165</v>
      </c>
      <c r="C164" s="6" t="s">
        <v>256</v>
      </c>
      <c r="D164" s="6">
        <v>0</v>
      </c>
      <c r="E164" s="6">
        <v>1</v>
      </c>
    </row>
    <row r="165" spans="1:5" ht="30" hidden="1" outlineLevel="2" x14ac:dyDescent="0.2">
      <c r="A165" s="6">
        <v>143</v>
      </c>
      <c r="B165" s="5" t="s">
        <v>166</v>
      </c>
      <c r="C165" s="6" t="s">
        <v>256</v>
      </c>
      <c r="D165" s="6">
        <v>0</v>
      </c>
      <c r="E165" s="6">
        <v>1</v>
      </c>
    </row>
    <row r="166" spans="1:5" hidden="1" outlineLevel="2" x14ac:dyDescent="0.2">
      <c r="A166" s="6">
        <v>144</v>
      </c>
      <c r="B166" s="5" t="s">
        <v>167</v>
      </c>
      <c r="C166" s="6" t="s">
        <v>256</v>
      </c>
      <c r="D166" s="6">
        <v>0</v>
      </c>
      <c r="E166" s="6">
        <v>1</v>
      </c>
    </row>
    <row r="167" spans="1:5" hidden="1" outlineLevel="2" x14ac:dyDescent="0.2">
      <c r="A167" s="6">
        <v>145</v>
      </c>
      <c r="B167" s="5" t="s">
        <v>168</v>
      </c>
      <c r="C167" s="6" t="s">
        <v>256</v>
      </c>
      <c r="D167" s="6">
        <v>0</v>
      </c>
      <c r="E167" s="6">
        <v>1</v>
      </c>
    </row>
    <row r="168" spans="1:5" hidden="1" outlineLevel="2" x14ac:dyDescent="0.2">
      <c r="A168" s="6">
        <v>146</v>
      </c>
      <c r="B168" s="5" t="s">
        <v>169</v>
      </c>
      <c r="C168" s="6" t="s">
        <v>257</v>
      </c>
      <c r="D168" s="6">
        <v>0</v>
      </c>
      <c r="E168" s="6">
        <v>4</v>
      </c>
    </row>
    <row r="169" spans="1:5" hidden="1" outlineLevel="2" x14ac:dyDescent="0.2">
      <c r="A169" s="6">
        <v>147</v>
      </c>
      <c r="B169" s="5" t="s">
        <v>170</v>
      </c>
      <c r="C169" s="6" t="s">
        <v>256</v>
      </c>
      <c r="D169" s="6">
        <v>0</v>
      </c>
      <c r="E169" s="6">
        <v>1</v>
      </c>
    </row>
    <row r="170" spans="1:5" hidden="1" outlineLevel="2" x14ac:dyDescent="0.2">
      <c r="A170" s="6">
        <v>148</v>
      </c>
      <c r="B170" s="5" t="s">
        <v>171</v>
      </c>
      <c r="C170" s="6" t="s">
        <v>256</v>
      </c>
      <c r="D170" s="6">
        <v>0</v>
      </c>
      <c r="E170" s="6">
        <v>1</v>
      </c>
    </row>
    <row r="171" spans="1:5" hidden="1" outlineLevel="2" x14ac:dyDescent="0.2">
      <c r="A171" s="6">
        <v>149</v>
      </c>
      <c r="B171" s="5" t="s">
        <v>172</v>
      </c>
      <c r="C171" s="6" t="s">
        <v>256</v>
      </c>
      <c r="D171" s="6">
        <v>0</v>
      </c>
      <c r="E171" s="6">
        <v>1</v>
      </c>
    </row>
    <row r="172" spans="1:5" hidden="1" outlineLevel="2" x14ac:dyDescent="0.2">
      <c r="A172" s="6">
        <v>150</v>
      </c>
      <c r="B172" s="5" t="s">
        <v>173</v>
      </c>
      <c r="C172" s="6" t="s">
        <v>257</v>
      </c>
      <c r="D172" s="6">
        <v>0</v>
      </c>
      <c r="E172" s="6">
        <v>3</v>
      </c>
    </row>
    <row r="173" spans="1:5" hidden="1" outlineLevel="2" x14ac:dyDescent="0.2">
      <c r="A173" s="6">
        <v>151</v>
      </c>
      <c r="B173" s="5" t="s">
        <v>174</v>
      </c>
      <c r="C173" s="6" t="s">
        <v>256</v>
      </c>
      <c r="D173" s="6">
        <v>0</v>
      </c>
      <c r="E173" s="6">
        <v>1</v>
      </c>
    </row>
    <row r="174" spans="1:5" hidden="1" outlineLevel="2" x14ac:dyDescent="0.2">
      <c r="A174" s="6">
        <v>152</v>
      </c>
      <c r="B174" s="5" t="s">
        <v>175</v>
      </c>
      <c r="C174" s="6" t="s">
        <v>257</v>
      </c>
      <c r="D174" s="6">
        <v>0</v>
      </c>
      <c r="E174" s="6">
        <v>5</v>
      </c>
    </row>
    <row r="175" spans="1:5" hidden="1" outlineLevel="2" x14ac:dyDescent="0.2">
      <c r="A175" s="6">
        <v>153</v>
      </c>
      <c r="B175" s="5" t="s">
        <v>176</v>
      </c>
      <c r="C175" s="6" t="s">
        <v>256</v>
      </c>
      <c r="D175" s="6">
        <v>0</v>
      </c>
      <c r="E175" s="6">
        <v>1</v>
      </c>
    </row>
    <row r="176" spans="1:5" hidden="1" outlineLevel="2" x14ac:dyDescent="0.2">
      <c r="A176" s="6">
        <v>154</v>
      </c>
      <c r="B176" s="5" t="s">
        <v>177</v>
      </c>
      <c r="C176" s="6" t="s">
        <v>256</v>
      </c>
      <c r="D176" s="6">
        <v>0</v>
      </c>
      <c r="E176" s="6">
        <v>1</v>
      </c>
    </row>
    <row r="177" spans="1:5" ht="30" hidden="1" outlineLevel="2" x14ac:dyDescent="0.2">
      <c r="A177" s="6">
        <v>155</v>
      </c>
      <c r="B177" s="5" t="s">
        <v>178</v>
      </c>
      <c r="C177" s="6" t="s">
        <v>258</v>
      </c>
      <c r="D177" s="6">
        <v>1</v>
      </c>
      <c r="E177" s="6">
        <v>8</v>
      </c>
    </row>
    <row r="178" spans="1:5" hidden="1" outlineLevel="2" x14ac:dyDescent="0.2">
      <c r="A178" s="6">
        <v>156</v>
      </c>
      <c r="B178" s="5" t="s">
        <v>179</v>
      </c>
      <c r="C178" s="6" t="s">
        <v>256</v>
      </c>
      <c r="D178" s="6">
        <v>0</v>
      </c>
      <c r="E178" s="6">
        <v>1</v>
      </c>
    </row>
    <row r="179" spans="1:5" hidden="1" outlineLevel="2" x14ac:dyDescent="0.2">
      <c r="A179" s="6">
        <v>157</v>
      </c>
      <c r="B179" s="5" t="s">
        <v>180</v>
      </c>
      <c r="C179" s="6" t="s">
        <v>257</v>
      </c>
      <c r="D179" s="6">
        <v>0</v>
      </c>
      <c r="E179" s="6">
        <v>2</v>
      </c>
    </row>
    <row r="180" spans="1:5" hidden="1" outlineLevel="2" x14ac:dyDescent="0.2">
      <c r="A180" s="6">
        <v>158</v>
      </c>
      <c r="B180" s="5" t="s">
        <v>181</v>
      </c>
      <c r="C180" s="6" t="s">
        <v>257</v>
      </c>
      <c r="D180" s="6">
        <v>0</v>
      </c>
      <c r="E180" s="6">
        <v>2</v>
      </c>
    </row>
    <row r="181" spans="1:5" hidden="1" outlineLevel="1" collapsed="1" x14ac:dyDescent="0.2">
      <c r="A181" s="6">
        <v>159</v>
      </c>
      <c r="B181" s="9" t="s">
        <v>182</v>
      </c>
      <c r="C181" s="9" t="s">
        <v>259</v>
      </c>
      <c r="D181" s="9">
        <f>SUM(D164:D180)</f>
        <v>1</v>
      </c>
      <c r="E181" s="9">
        <f>SUM(E164:E180)</f>
        <v>35</v>
      </c>
    </row>
    <row r="182" spans="1:5" hidden="1" outlineLevel="1" x14ac:dyDescent="0.2">
      <c r="A182" s="7"/>
      <c r="B182" s="8" t="s">
        <v>277</v>
      </c>
      <c r="C182" s="7"/>
      <c r="D182" s="7"/>
      <c r="E182" s="7"/>
    </row>
    <row r="183" spans="1:5" ht="30" hidden="1" outlineLevel="2" x14ac:dyDescent="0.2">
      <c r="A183" s="6">
        <v>160</v>
      </c>
      <c r="B183" s="5" t="s">
        <v>183</v>
      </c>
      <c r="C183" s="6" t="s">
        <v>256</v>
      </c>
      <c r="D183" s="6">
        <v>0</v>
      </c>
      <c r="E183" s="6">
        <v>1</v>
      </c>
    </row>
    <row r="184" spans="1:5" hidden="1" outlineLevel="2" x14ac:dyDescent="0.2">
      <c r="A184" s="6">
        <v>161</v>
      </c>
      <c r="B184" s="5" t="s">
        <v>184</v>
      </c>
      <c r="C184" s="6" t="s">
        <v>256</v>
      </c>
      <c r="D184" s="6">
        <v>0</v>
      </c>
      <c r="E184" s="6">
        <v>1</v>
      </c>
    </row>
    <row r="185" spans="1:5" hidden="1" outlineLevel="2" x14ac:dyDescent="0.2">
      <c r="A185" s="6">
        <v>162</v>
      </c>
      <c r="B185" s="5" t="s">
        <v>185</v>
      </c>
      <c r="C185" s="6" t="s">
        <v>257</v>
      </c>
      <c r="D185" s="6">
        <v>1</v>
      </c>
      <c r="E185" s="6">
        <v>2</v>
      </c>
    </row>
    <row r="186" spans="1:5" hidden="1" outlineLevel="2" x14ac:dyDescent="0.2">
      <c r="A186" s="6">
        <v>163</v>
      </c>
      <c r="B186" s="5" t="s">
        <v>186</v>
      </c>
      <c r="C186" s="6" t="s">
        <v>256</v>
      </c>
      <c r="D186" s="6">
        <v>0</v>
      </c>
      <c r="E186" s="6">
        <v>1</v>
      </c>
    </row>
    <row r="187" spans="1:5" hidden="1" outlineLevel="2" x14ac:dyDescent="0.2">
      <c r="A187" s="6">
        <v>164</v>
      </c>
      <c r="B187" s="5" t="s">
        <v>187</v>
      </c>
      <c r="C187" s="6" t="s">
        <v>256</v>
      </c>
      <c r="D187" s="6">
        <v>-1</v>
      </c>
      <c r="E187" s="6">
        <v>1</v>
      </c>
    </row>
    <row r="188" spans="1:5" hidden="1" outlineLevel="2" x14ac:dyDescent="0.2">
      <c r="A188" s="6">
        <v>165</v>
      </c>
      <c r="B188" s="5" t="s">
        <v>188</v>
      </c>
      <c r="C188" s="6" t="s">
        <v>256</v>
      </c>
      <c r="D188" s="6">
        <v>0</v>
      </c>
      <c r="E188" s="6">
        <v>1</v>
      </c>
    </row>
    <row r="189" spans="1:5" hidden="1" outlineLevel="2" x14ac:dyDescent="0.2">
      <c r="A189" s="6">
        <v>166</v>
      </c>
      <c r="B189" s="5" t="s">
        <v>189</v>
      </c>
      <c r="C189" s="6" t="s">
        <v>256</v>
      </c>
      <c r="D189" s="6">
        <v>-1</v>
      </c>
      <c r="E189" s="6">
        <v>1</v>
      </c>
    </row>
    <row r="190" spans="1:5" hidden="1" outlineLevel="2" x14ac:dyDescent="0.2">
      <c r="A190" s="6">
        <v>167</v>
      </c>
      <c r="B190" s="5" t="s">
        <v>190</v>
      </c>
      <c r="C190" s="6" t="s">
        <v>257</v>
      </c>
      <c r="D190" s="6">
        <v>1</v>
      </c>
      <c r="E190" s="6">
        <v>5</v>
      </c>
    </row>
    <row r="191" spans="1:5" hidden="1" outlineLevel="2" x14ac:dyDescent="0.2">
      <c r="A191" s="6">
        <v>168</v>
      </c>
      <c r="B191" s="5" t="s">
        <v>191</v>
      </c>
      <c r="C191" s="6" t="s">
        <v>256</v>
      </c>
      <c r="D191" s="6">
        <v>0</v>
      </c>
      <c r="E191" s="6">
        <v>1</v>
      </c>
    </row>
    <row r="192" spans="1:5" hidden="1" outlineLevel="2" x14ac:dyDescent="0.2">
      <c r="A192" s="6">
        <v>169</v>
      </c>
      <c r="B192" s="5" t="s">
        <v>192</v>
      </c>
      <c r="C192" s="6" t="s">
        <v>256</v>
      </c>
      <c r="D192" s="6">
        <v>0</v>
      </c>
      <c r="E192" s="6">
        <v>1</v>
      </c>
    </row>
    <row r="193" spans="1:5" hidden="1" outlineLevel="2" x14ac:dyDescent="0.2">
      <c r="A193" s="6">
        <v>170</v>
      </c>
      <c r="B193" s="5" t="s">
        <v>193</v>
      </c>
      <c r="C193" s="6" t="s">
        <v>256</v>
      </c>
      <c r="D193" s="6">
        <v>0</v>
      </c>
      <c r="E193" s="6">
        <v>1</v>
      </c>
    </row>
    <row r="194" spans="1:5" hidden="1" outlineLevel="2" x14ac:dyDescent="0.2">
      <c r="A194" s="6">
        <v>171</v>
      </c>
      <c r="B194" s="5" t="s">
        <v>194</v>
      </c>
      <c r="C194" s="6" t="s">
        <v>256</v>
      </c>
      <c r="D194" s="6">
        <v>0</v>
      </c>
      <c r="E194" s="6">
        <v>1</v>
      </c>
    </row>
    <row r="195" spans="1:5" hidden="1" outlineLevel="2" x14ac:dyDescent="0.2">
      <c r="A195" s="6">
        <v>172</v>
      </c>
      <c r="B195" s="5" t="s">
        <v>195</v>
      </c>
      <c r="C195" s="6" t="s">
        <v>257</v>
      </c>
      <c r="D195" s="6">
        <v>0</v>
      </c>
      <c r="E195" s="6">
        <v>3</v>
      </c>
    </row>
    <row r="196" spans="1:5" hidden="1" outlineLevel="2" x14ac:dyDescent="0.2">
      <c r="A196" s="6">
        <v>173</v>
      </c>
      <c r="B196" s="5" t="s">
        <v>196</v>
      </c>
      <c r="C196" s="6" t="s">
        <v>256</v>
      </c>
      <c r="D196" s="6">
        <v>0</v>
      </c>
      <c r="E196" s="6">
        <v>1</v>
      </c>
    </row>
    <row r="197" spans="1:5" hidden="1" outlineLevel="2" x14ac:dyDescent="0.2">
      <c r="A197" s="6">
        <v>174</v>
      </c>
      <c r="B197" s="5" t="s">
        <v>197</v>
      </c>
      <c r="C197" s="6" t="s">
        <v>256</v>
      </c>
      <c r="D197" s="6">
        <v>0</v>
      </c>
      <c r="E197" s="6">
        <v>1</v>
      </c>
    </row>
    <row r="198" spans="1:5" hidden="1" outlineLevel="2" x14ac:dyDescent="0.2">
      <c r="A198" s="6">
        <v>175</v>
      </c>
      <c r="B198" s="5" t="s">
        <v>198</v>
      </c>
      <c r="C198" s="6" t="s">
        <v>256</v>
      </c>
      <c r="D198" s="6">
        <v>0</v>
      </c>
      <c r="E198" s="6">
        <v>1</v>
      </c>
    </row>
    <row r="199" spans="1:5" hidden="1" outlineLevel="2" x14ac:dyDescent="0.2">
      <c r="A199" s="6">
        <v>176</v>
      </c>
      <c r="B199" s="5" t="s">
        <v>199</v>
      </c>
      <c r="C199" s="6" t="s">
        <v>257</v>
      </c>
      <c r="D199" s="6">
        <v>0</v>
      </c>
      <c r="E199" s="6">
        <v>3</v>
      </c>
    </row>
    <row r="200" spans="1:5" hidden="1" outlineLevel="2" x14ac:dyDescent="0.2">
      <c r="A200" s="6">
        <v>177</v>
      </c>
      <c r="B200" s="5" t="s">
        <v>200</v>
      </c>
      <c r="C200" s="6" t="s">
        <v>256</v>
      </c>
      <c r="D200" s="6">
        <v>0</v>
      </c>
      <c r="E200" s="6">
        <v>2</v>
      </c>
    </row>
    <row r="201" spans="1:5" hidden="1" outlineLevel="2" x14ac:dyDescent="0.2">
      <c r="A201" s="6">
        <v>178</v>
      </c>
      <c r="B201" s="5" t="s">
        <v>201</v>
      </c>
      <c r="C201" s="6" t="s">
        <v>256</v>
      </c>
      <c r="D201" s="6">
        <v>0</v>
      </c>
      <c r="E201" s="6">
        <v>1</v>
      </c>
    </row>
    <row r="202" spans="1:5" hidden="1" outlineLevel="1" collapsed="1" x14ac:dyDescent="0.2">
      <c r="A202" s="6">
        <v>179</v>
      </c>
      <c r="B202" s="9" t="s">
        <v>202</v>
      </c>
      <c r="C202" s="9" t="s">
        <v>259</v>
      </c>
      <c r="D202" s="9">
        <f>SUM(D183:D201)</f>
        <v>0</v>
      </c>
      <c r="E202" s="9">
        <f>SUM(E183:E201)</f>
        <v>29</v>
      </c>
    </row>
    <row r="203" spans="1:5" hidden="1" outlineLevel="1" x14ac:dyDescent="0.2">
      <c r="A203" s="7"/>
      <c r="B203" s="8" t="s">
        <v>278</v>
      </c>
      <c r="C203" s="7"/>
      <c r="D203" s="7"/>
      <c r="E203" s="7"/>
    </row>
    <row r="204" spans="1:5" hidden="1" outlineLevel="2" x14ac:dyDescent="0.2">
      <c r="A204" s="6">
        <v>180</v>
      </c>
      <c r="B204" s="5" t="s">
        <v>203</v>
      </c>
      <c r="C204" s="6" t="s">
        <v>256</v>
      </c>
      <c r="D204" s="6">
        <v>0</v>
      </c>
      <c r="E204" s="6">
        <v>1</v>
      </c>
    </row>
    <row r="205" spans="1:5" hidden="1" outlineLevel="2" x14ac:dyDescent="0.2">
      <c r="A205" s="6">
        <v>181</v>
      </c>
      <c r="B205" s="5" t="s">
        <v>204</v>
      </c>
      <c r="C205" s="6" t="s">
        <v>256</v>
      </c>
      <c r="D205" s="6">
        <v>0</v>
      </c>
      <c r="E205" s="6">
        <v>1</v>
      </c>
    </row>
    <row r="206" spans="1:5" hidden="1" outlineLevel="2" x14ac:dyDescent="0.2">
      <c r="A206" s="6">
        <v>182</v>
      </c>
      <c r="B206" s="5" t="s">
        <v>205</v>
      </c>
      <c r="C206" s="6" t="s">
        <v>258</v>
      </c>
      <c r="D206" s="6">
        <v>0</v>
      </c>
      <c r="E206" s="6">
        <v>3</v>
      </c>
    </row>
    <row r="207" spans="1:5" hidden="1" outlineLevel="2" x14ac:dyDescent="0.2">
      <c r="A207" s="6">
        <v>183</v>
      </c>
      <c r="B207" s="5" t="s">
        <v>206</v>
      </c>
      <c r="C207" s="6" t="s">
        <v>257</v>
      </c>
      <c r="D207" s="6">
        <v>0</v>
      </c>
      <c r="E207" s="6">
        <v>2</v>
      </c>
    </row>
    <row r="208" spans="1:5" ht="30" hidden="1" outlineLevel="2" x14ac:dyDescent="0.2">
      <c r="A208" s="6">
        <v>184</v>
      </c>
      <c r="B208" s="5" t="s">
        <v>207</v>
      </c>
      <c r="C208" s="6" t="s">
        <v>256</v>
      </c>
      <c r="D208" s="6">
        <v>0</v>
      </c>
      <c r="E208" s="6">
        <v>1</v>
      </c>
    </row>
    <row r="209" spans="1:5" hidden="1" outlineLevel="1" collapsed="1" x14ac:dyDescent="0.2">
      <c r="A209" s="6">
        <v>185</v>
      </c>
      <c r="B209" s="9" t="s">
        <v>208</v>
      </c>
      <c r="C209" s="9" t="s">
        <v>259</v>
      </c>
      <c r="D209" s="9">
        <f>SUM(D204:D208)</f>
        <v>0</v>
      </c>
      <c r="E209" s="9">
        <f>SUM(E204:E208)</f>
        <v>8</v>
      </c>
    </row>
    <row r="210" spans="1:5" hidden="1" outlineLevel="1" x14ac:dyDescent="0.2">
      <c r="A210" s="7"/>
      <c r="B210" s="8" t="s">
        <v>279</v>
      </c>
      <c r="C210" s="7"/>
      <c r="D210" s="7"/>
      <c r="E210" s="7"/>
    </row>
    <row r="211" spans="1:5" hidden="1" outlineLevel="2" x14ac:dyDescent="0.2">
      <c r="A211" s="6">
        <v>186</v>
      </c>
      <c r="B211" s="5" t="s">
        <v>209</v>
      </c>
      <c r="C211" s="6" t="s">
        <v>256</v>
      </c>
      <c r="D211" s="6">
        <v>0</v>
      </c>
      <c r="E211" s="6">
        <v>1</v>
      </c>
    </row>
    <row r="212" spans="1:5" hidden="1" outlineLevel="2" x14ac:dyDescent="0.2">
      <c r="A212" s="6">
        <v>187</v>
      </c>
      <c r="B212" s="5" t="s">
        <v>210</v>
      </c>
      <c r="C212" s="6" t="s">
        <v>256</v>
      </c>
      <c r="D212" s="6">
        <v>0</v>
      </c>
      <c r="E212" s="6">
        <v>1</v>
      </c>
    </row>
    <row r="213" spans="1:5" ht="30" hidden="1" outlineLevel="2" x14ac:dyDescent="0.2">
      <c r="A213" s="6">
        <v>188</v>
      </c>
      <c r="B213" s="5" t="s">
        <v>211</v>
      </c>
      <c r="C213" s="6" t="s">
        <v>256</v>
      </c>
      <c r="D213" s="6">
        <v>0</v>
      </c>
      <c r="E213" s="6">
        <v>1</v>
      </c>
    </row>
    <row r="214" spans="1:5" hidden="1" outlineLevel="2" x14ac:dyDescent="0.2">
      <c r="A214" s="6">
        <v>189</v>
      </c>
      <c r="B214" s="5" t="s">
        <v>212</v>
      </c>
      <c r="C214" s="6" t="s">
        <v>256</v>
      </c>
      <c r="D214" s="6">
        <v>0</v>
      </c>
      <c r="E214" s="6">
        <v>1</v>
      </c>
    </row>
    <row r="215" spans="1:5" hidden="1" outlineLevel="2" x14ac:dyDescent="0.2">
      <c r="A215" s="6">
        <v>190</v>
      </c>
      <c r="B215" s="5" t="s">
        <v>213</v>
      </c>
      <c r="C215" s="6" t="s">
        <v>256</v>
      </c>
      <c r="D215" s="6">
        <v>0</v>
      </c>
      <c r="E215" s="6">
        <v>1</v>
      </c>
    </row>
    <row r="216" spans="1:5" hidden="1" outlineLevel="1" collapsed="1" x14ac:dyDescent="0.2">
      <c r="A216" s="6">
        <v>191</v>
      </c>
      <c r="B216" s="9" t="s">
        <v>214</v>
      </c>
      <c r="C216" s="9" t="s">
        <v>259</v>
      </c>
      <c r="D216" s="9">
        <f>SUM(D211:D215)</f>
        <v>0</v>
      </c>
      <c r="E216" s="9">
        <f>SUM(E211:E215)</f>
        <v>5</v>
      </c>
    </row>
    <row r="217" spans="1:5" hidden="1" outlineLevel="1" x14ac:dyDescent="0.2">
      <c r="A217" s="7"/>
      <c r="B217" s="8" t="s">
        <v>280</v>
      </c>
      <c r="C217" s="7"/>
      <c r="D217" s="7"/>
      <c r="E217" s="7"/>
    </row>
    <row r="218" spans="1:5" hidden="1" outlineLevel="2" x14ac:dyDescent="0.2">
      <c r="A218" s="6">
        <v>192</v>
      </c>
      <c r="B218" s="5" t="s">
        <v>215</v>
      </c>
      <c r="C218" s="6" t="s">
        <v>256</v>
      </c>
      <c r="D218" s="6">
        <v>0</v>
      </c>
      <c r="E218" s="6">
        <v>1</v>
      </c>
    </row>
    <row r="219" spans="1:5" hidden="1" outlineLevel="2" x14ac:dyDescent="0.2">
      <c r="A219" s="6">
        <v>193</v>
      </c>
      <c r="B219" s="5" t="s">
        <v>216</v>
      </c>
      <c r="C219" s="6" t="s">
        <v>257</v>
      </c>
      <c r="D219" s="6">
        <v>0</v>
      </c>
      <c r="E219" s="6">
        <v>3</v>
      </c>
    </row>
    <row r="220" spans="1:5" hidden="1" outlineLevel="2" x14ac:dyDescent="0.2">
      <c r="A220" s="6">
        <v>194</v>
      </c>
      <c r="B220" s="5" t="s">
        <v>217</v>
      </c>
      <c r="C220" s="6" t="s">
        <v>256</v>
      </c>
      <c r="D220" s="6">
        <v>0</v>
      </c>
      <c r="E220" s="6">
        <v>2</v>
      </c>
    </row>
    <row r="221" spans="1:5" hidden="1" outlineLevel="2" x14ac:dyDescent="0.2">
      <c r="A221" s="6">
        <v>195</v>
      </c>
      <c r="B221" s="5" t="s">
        <v>218</v>
      </c>
      <c r="C221" s="6" t="s">
        <v>256</v>
      </c>
      <c r="D221" s="6">
        <v>-1</v>
      </c>
      <c r="E221" s="6">
        <v>1</v>
      </c>
    </row>
    <row r="222" spans="1:5" hidden="1" outlineLevel="2" x14ac:dyDescent="0.2">
      <c r="A222" s="6">
        <v>196</v>
      </c>
      <c r="B222" s="5" t="s">
        <v>219</v>
      </c>
      <c r="C222" s="6" t="s">
        <v>256</v>
      </c>
      <c r="D222" s="6">
        <v>0</v>
      </c>
      <c r="E222" s="6">
        <v>1</v>
      </c>
    </row>
    <row r="223" spans="1:5" hidden="1" outlineLevel="2" x14ac:dyDescent="0.2">
      <c r="A223" s="6">
        <v>197</v>
      </c>
      <c r="B223" s="5" t="s">
        <v>220</v>
      </c>
      <c r="C223" s="6" t="s">
        <v>256</v>
      </c>
      <c r="D223" s="6">
        <v>0</v>
      </c>
      <c r="E223" s="6">
        <v>1</v>
      </c>
    </row>
    <row r="224" spans="1:5" hidden="1" outlineLevel="2" x14ac:dyDescent="0.2">
      <c r="A224" s="6">
        <v>198</v>
      </c>
      <c r="B224" s="5" t="s">
        <v>221</v>
      </c>
      <c r="C224" s="6" t="s">
        <v>256</v>
      </c>
      <c r="D224" s="6">
        <v>0</v>
      </c>
      <c r="E224" s="6">
        <v>1</v>
      </c>
    </row>
    <row r="225" spans="1:5" hidden="1" outlineLevel="2" x14ac:dyDescent="0.2">
      <c r="A225" s="6">
        <v>199</v>
      </c>
      <c r="B225" s="5" t="s">
        <v>222</v>
      </c>
      <c r="C225" s="6" t="s">
        <v>256</v>
      </c>
      <c r="D225" s="6">
        <v>-1</v>
      </c>
      <c r="E225" s="6">
        <v>1</v>
      </c>
    </row>
    <row r="226" spans="1:5" hidden="1" outlineLevel="2" x14ac:dyDescent="0.2">
      <c r="A226" s="6">
        <v>200</v>
      </c>
      <c r="B226" s="5" t="s">
        <v>223</v>
      </c>
      <c r="C226" s="6" t="s">
        <v>257</v>
      </c>
      <c r="D226" s="6">
        <v>0</v>
      </c>
      <c r="E226" s="6">
        <v>5</v>
      </c>
    </row>
    <row r="227" spans="1:5" hidden="1" outlineLevel="2" x14ac:dyDescent="0.2">
      <c r="A227" s="6">
        <v>201</v>
      </c>
      <c r="B227" s="5" t="s">
        <v>224</v>
      </c>
      <c r="C227" s="6" t="s">
        <v>256</v>
      </c>
      <c r="D227" s="6">
        <v>0</v>
      </c>
      <c r="E227" s="6">
        <v>1</v>
      </c>
    </row>
    <row r="228" spans="1:5" hidden="1" outlineLevel="2" x14ac:dyDescent="0.2">
      <c r="A228" s="6">
        <v>202</v>
      </c>
      <c r="B228" s="5" t="s">
        <v>225</v>
      </c>
      <c r="C228" s="6" t="s">
        <v>256</v>
      </c>
      <c r="D228" s="6">
        <v>0</v>
      </c>
      <c r="E228" s="6">
        <v>1</v>
      </c>
    </row>
    <row r="229" spans="1:5" hidden="1" outlineLevel="2" x14ac:dyDescent="0.2">
      <c r="A229" s="6">
        <v>203</v>
      </c>
      <c r="B229" s="5" t="s">
        <v>226</v>
      </c>
      <c r="C229" s="6" t="s">
        <v>256</v>
      </c>
      <c r="D229" s="6">
        <v>0</v>
      </c>
      <c r="E229" s="6">
        <v>1</v>
      </c>
    </row>
    <row r="230" spans="1:5" hidden="1" outlineLevel="2" x14ac:dyDescent="0.2">
      <c r="A230" s="6">
        <v>204</v>
      </c>
      <c r="B230" s="5" t="s">
        <v>227</v>
      </c>
      <c r="C230" s="6" t="s">
        <v>256</v>
      </c>
      <c r="D230" s="6">
        <v>0</v>
      </c>
      <c r="E230" s="6">
        <v>1</v>
      </c>
    </row>
    <row r="231" spans="1:5" hidden="1" outlineLevel="2" x14ac:dyDescent="0.2">
      <c r="A231" s="6">
        <v>205</v>
      </c>
      <c r="B231" s="5" t="s">
        <v>228</v>
      </c>
      <c r="C231" s="6" t="s">
        <v>256</v>
      </c>
      <c r="D231" s="6">
        <v>0</v>
      </c>
      <c r="E231" s="6">
        <v>2</v>
      </c>
    </row>
    <row r="232" spans="1:5" hidden="1" outlineLevel="2" x14ac:dyDescent="0.2">
      <c r="A232" s="6">
        <v>206</v>
      </c>
      <c r="B232" s="5" t="s">
        <v>229</v>
      </c>
      <c r="C232" s="6" t="s">
        <v>257</v>
      </c>
      <c r="D232" s="6">
        <v>0</v>
      </c>
      <c r="E232" s="6">
        <v>3</v>
      </c>
    </row>
    <row r="233" spans="1:5" hidden="1" outlineLevel="2" x14ac:dyDescent="0.2">
      <c r="A233" s="6">
        <v>207</v>
      </c>
      <c r="B233" s="5" t="s">
        <v>230</v>
      </c>
      <c r="C233" s="6" t="s">
        <v>256</v>
      </c>
      <c r="D233" s="6">
        <v>0</v>
      </c>
      <c r="E233" s="6">
        <v>1</v>
      </c>
    </row>
    <row r="234" spans="1:5" hidden="1" outlineLevel="1" collapsed="1" x14ac:dyDescent="0.2">
      <c r="A234" s="6">
        <v>208</v>
      </c>
      <c r="B234" s="9" t="s">
        <v>231</v>
      </c>
      <c r="C234" s="9" t="s">
        <v>259</v>
      </c>
      <c r="D234" s="9">
        <f>SUM(D218:D233)</f>
        <v>-2</v>
      </c>
      <c r="E234" s="9">
        <f>SUM(E218:E233)</f>
        <v>26</v>
      </c>
    </row>
    <row r="235" spans="1:5" hidden="1" outlineLevel="1" x14ac:dyDescent="0.2">
      <c r="A235" s="7"/>
      <c r="B235" s="8" t="s">
        <v>281</v>
      </c>
      <c r="C235" s="7"/>
      <c r="D235" s="7"/>
      <c r="E235" s="7"/>
    </row>
    <row r="236" spans="1:5" hidden="1" outlineLevel="2" x14ac:dyDescent="0.2">
      <c r="A236" s="6">
        <v>209</v>
      </c>
      <c r="B236" s="5" t="s">
        <v>232</v>
      </c>
      <c r="C236" s="6" t="s">
        <v>256</v>
      </c>
      <c r="D236" s="6">
        <v>-1</v>
      </c>
      <c r="E236" s="6">
        <v>1</v>
      </c>
    </row>
    <row r="237" spans="1:5" hidden="1" outlineLevel="2" x14ac:dyDescent="0.2">
      <c r="A237" s="6">
        <v>210</v>
      </c>
      <c r="B237" s="5" t="s">
        <v>233</v>
      </c>
      <c r="C237" s="6" t="s">
        <v>258</v>
      </c>
      <c r="D237" s="6">
        <v>-5</v>
      </c>
      <c r="E237" s="6">
        <v>-1</v>
      </c>
    </row>
    <row r="238" spans="1:5" hidden="1" outlineLevel="2" x14ac:dyDescent="0.2">
      <c r="A238" s="6">
        <v>211</v>
      </c>
      <c r="B238" s="5" t="s">
        <v>234</v>
      </c>
      <c r="C238" s="6" t="s">
        <v>256</v>
      </c>
      <c r="D238" s="6">
        <v>-1</v>
      </c>
      <c r="E238" s="6">
        <v>1</v>
      </c>
    </row>
    <row r="239" spans="1:5" hidden="1" outlineLevel="2" x14ac:dyDescent="0.2">
      <c r="A239" s="6">
        <v>212</v>
      </c>
      <c r="B239" s="5" t="s">
        <v>235</v>
      </c>
      <c r="C239" s="6" t="s">
        <v>256</v>
      </c>
      <c r="D239" s="6">
        <v>-1</v>
      </c>
      <c r="E239" s="6">
        <v>1</v>
      </c>
    </row>
    <row r="240" spans="1:5" hidden="1" outlineLevel="2" x14ac:dyDescent="0.2">
      <c r="A240" s="6">
        <v>213</v>
      </c>
      <c r="B240" s="5" t="s">
        <v>236</v>
      </c>
      <c r="C240" s="6" t="s">
        <v>256</v>
      </c>
      <c r="D240" s="6">
        <v>0</v>
      </c>
      <c r="E240" s="6">
        <v>1</v>
      </c>
    </row>
    <row r="241" spans="1:5" hidden="1" outlineLevel="2" x14ac:dyDescent="0.2">
      <c r="A241" s="6">
        <v>214</v>
      </c>
      <c r="B241" s="5" t="s">
        <v>237</v>
      </c>
      <c r="C241" s="6" t="s">
        <v>256</v>
      </c>
      <c r="D241" s="6">
        <v>0</v>
      </c>
      <c r="E241" s="6">
        <v>1</v>
      </c>
    </row>
    <row r="242" spans="1:5" ht="30" hidden="1" outlineLevel="2" x14ac:dyDescent="0.2">
      <c r="A242" s="6">
        <v>215</v>
      </c>
      <c r="B242" s="5" t="s">
        <v>238</v>
      </c>
      <c r="C242" s="6" t="s">
        <v>256</v>
      </c>
      <c r="D242" s="6">
        <v>0</v>
      </c>
      <c r="E242" s="6">
        <v>1</v>
      </c>
    </row>
    <row r="243" spans="1:5" hidden="1" outlineLevel="2" x14ac:dyDescent="0.2">
      <c r="A243" s="6">
        <v>216</v>
      </c>
      <c r="B243" s="5" t="s">
        <v>239</v>
      </c>
      <c r="C243" s="6" t="s">
        <v>256</v>
      </c>
      <c r="D243" s="6">
        <v>0</v>
      </c>
      <c r="E243" s="6">
        <v>1</v>
      </c>
    </row>
    <row r="244" spans="1:5" hidden="1" outlineLevel="2" x14ac:dyDescent="0.2">
      <c r="A244" s="6">
        <v>217</v>
      </c>
      <c r="B244" s="5" t="s">
        <v>240</v>
      </c>
      <c r="C244" s="6" t="s">
        <v>257</v>
      </c>
      <c r="D244" s="6">
        <v>1</v>
      </c>
      <c r="E244" s="6">
        <v>3</v>
      </c>
    </row>
    <row r="245" spans="1:5" hidden="1" outlineLevel="2" x14ac:dyDescent="0.2">
      <c r="A245" s="6">
        <v>218</v>
      </c>
      <c r="B245" s="5" t="s">
        <v>241</v>
      </c>
      <c r="C245" s="6" t="s">
        <v>256</v>
      </c>
      <c r="D245" s="6">
        <v>0</v>
      </c>
      <c r="E245" s="6">
        <v>1</v>
      </c>
    </row>
    <row r="246" spans="1:5" hidden="1" outlineLevel="2" x14ac:dyDescent="0.2">
      <c r="A246" s="6">
        <v>219</v>
      </c>
      <c r="B246" s="5" t="s">
        <v>242</v>
      </c>
      <c r="C246" s="6" t="s">
        <v>256</v>
      </c>
      <c r="D246" s="6">
        <v>0</v>
      </c>
      <c r="E246" s="6">
        <v>1</v>
      </c>
    </row>
    <row r="247" spans="1:5" hidden="1" outlineLevel="2" x14ac:dyDescent="0.2">
      <c r="A247" s="6">
        <v>220</v>
      </c>
      <c r="B247" s="5" t="s">
        <v>243</v>
      </c>
      <c r="C247" s="6" t="s">
        <v>256</v>
      </c>
      <c r="D247" s="6">
        <v>0</v>
      </c>
      <c r="E247" s="6">
        <v>1</v>
      </c>
    </row>
    <row r="248" spans="1:5" ht="30" hidden="1" outlineLevel="2" x14ac:dyDescent="0.2">
      <c r="A248" s="6">
        <v>221</v>
      </c>
      <c r="B248" s="5" t="s">
        <v>244</v>
      </c>
      <c r="C248" s="6" t="s">
        <v>257</v>
      </c>
      <c r="D248" s="6">
        <v>0</v>
      </c>
      <c r="E248" s="6">
        <v>3</v>
      </c>
    </row>
    <row r="249" spans="1:5" hidden="1" outlineLevel="1" collapsed="1" x14ac:dyDescent="0.2">
      <c r="A249" s="6">
        <v>222</v>
      </c>
      <c r="B249" s="9" t="s">
        <v>245</v>
      </c>
      <c r="C249" s="9" t="s">
        <v>259</v>
      </c>
      <c r="D249" s="9">
        <f>SUM(D236:D248)</f>
        <v>-7</v>
      </c>
      <c r="E249" s="9">
        <f>SUM(E236:E248)</f>
        <v>15</v>
      </c>
    </row>
    <row r="250" spans="1:5" hidden="1" outlineLevel="1" x14ac:dyDescent="0.2">
      <c r="A250" s="7"/>
      <c r="B250" s="8" t="s">
        <v>282</v>
      </c>
      <c r="C250" s="7"/>
      <c r="D250" s="7"/>
      <c r="E250" s="7"/>
    </row>
    <row r="251" spans="1:5" ht="30" hidden="1" outlineLevel="2" x14ac:dyDescent="0.2">
      <c r="A251" s="6">
        <v>223</v>
      </c>
      <c r="B251" s="5" t="s">
        <v>246</v>
      </c>
      <c r="C251" s="6" t="s">
        <v>258</v>
      </c>
      <c r="D251" s="6">
        <v>-5</v>
      </c>
      <c r="E251" s="6">
        <v>0</v>
      </c>
    </row>
    <row r="252" spans="1:5" ht="30" hidden="1" outlineLevel="2" x14ac:dyDescent="0.2">
      <c r="A252" s="6">
        <v>224</v>
      </c>
      <c r="B252" s="5" t="s">
        <v>247</v>
      </c>
      <c r="C252" s="6" t="s">
        <v>258</v>
      </c>
      <c r="D252" s="6">
        <v>-5</v>
      </c>
      <c r="E252" s="6">
        <v>0</v>
      </c>
    </row>
    <row r="253" spans="1:5" ht="30" hidden="1" outlineLevel="2" x14ac:dyDescent="0.2">
      <c r="A253" s="6">
        <v>225</v>
      </c>
      <c r="B253" s="5" t="s">
        <v>248</v>
      </c>
      <c r="C253" s="6" t="s">
        <v>256</v>
      </c>
      <c r="D253" s="6">
        <v>0</v>
      </c>
      <c r="E253" s="6">
        <v>1</v>
      </c>
    </row>
    <row r="254" spans="1:5" hidden="1" outlineLevel="2" x14ac:dyDescent="0.2">
      <c r="A254" s="6">
        <v>226</v>
      </c>
      <c r="B254" s="5" t="s">
        <v>249</v>
      </c>
      <c r="C254" s="6" t="s">
        <v>256</v>
      </c>
      <c r="D254" s="6">
        <v>0</v>
      </c>
      <c r="E254" s="6">
        <v>1</v>
      </c>
    </row>
    <row r="255" spans="1:5" hidden="1" outlineLevel="2" x14ac:dyDescent="0.2">
      <c r="A255" s="6">
        <v>227</v>
      </c>
      <c r="B255" s="5" t="s">
        <v>250</v>
      </c>
      <c r="C255" s="6" t="s">
        <v>257</v>
      </c>
      <c r="D255" s="6">
        <v>0</v>
      </c>
      <c r="E255" s="6">
        <v>10</v>
      </c>
    </row>
    <row r="256" spans="1:5" hidden="1" outlineLevel="2" x14ac:dyDescent="0.2">
      <c r="A256" s="6">
        <v>228</v>
      </c>
      <c r="B256" s="5" t="s">
        <v>251</v>
      </c>
      <c r="C256" s="6" t="s">
        <v>256</v>
      </c>
      <c r="D256" s="6">
        <v>-1</v>
      </c>
      <c r="E256" s="6">
        <v>1</v>
      </c>
    </row>
    <row r="257" spans="1:12" hidden="1" outlineLevel="2" x14ac:dyDescent="0.2">
      <c r="A257" s="6">
        <v>229</v>
      </c>
      <c r="B257" s="5" t="s">
        <v>252</v>
      </c>
      <c r="C257" s="6" t="s">
        <v>256</v>
      </c>
      <c r="D257" s="6">
        <v>0</v>
      </c>
      <c r="E257" s="6">
        <v>1</v>
      </c>
    </row>
    <row r="258" spans="1:12" hidden="1" outlineLevel="1" collapsed="1" x14ac:dyDescent="0.2">
      <c r="A258" s="6">
        <v>230</v>
      </c>
      <c r="B258" s="9" t="s">
        <v>253</v>
      </c>
      <c r="C258" s="9" t="s">
        <v>259</v>
      </c>
      <c r="D258" s="9">
        <f>SUM(D251:D257)</f>
        <v>-11</v>
      </c>
      <c r="E258" s="9">
        <f>SUM(E251:E257)</f>
        <v>14</v>
      </c>
    </row>
    <row r="259" spans="1:12" hidden="1" outlineLevel="1" x14ac:dyDescent="0.2">
      <c r="C259" s="1" t="s">
        <v>261</v>
      </c>
      <c r="D259" s="1">
        <f>SUM(D258,D249,D234,D216,D209,D202,D181,D162,D148,D137,D121,D113,D103,D95)</f>
        <v>-6</v>
      </c>
      <c r="E259" s="1">
        <f>SUM(E258,E249,E234,E216,E209,E202,E181,E162,E148,E137,E121,E113,E103,E95,HSum07,HSum06,HSum05,HSum04,HSum03)</f>
        <v>449</v>
      </c>
    </row>
    <row r="260" spans="1:12" ht="36" customHeight="1" collapsed="1" x14ac:dyDescent="0.2">
      <c r="B260" s="23" t="s">
        <v>293</v>
      </c>
      <c r="C260" s="24" t="s">
        <v>292</v>
      </c>
      <c r="D260" s="25" t="s">
        <v>290</v>
      </c>
      <c r="E260" s="25" t="s">
        <v>291</v>
      </c>
      <c r="F260" s="25" t="s">
        <v>5</v>
      </c>
      <c r="G260" s="25" t="s">
        <v>6</v>
      </c>
      <c r="H260" s="24" t="s">
        <v>2</v>
      </c>
      <c r="I260" s="24" t="s">
        <v>3</v>
      </c>
      <c r="J260" s="24" t="s">
        <v>4</v>
      </c>
      <c r="K260" s="15" t="s">
        <v>0</v>
      </c>
      <c r="L260" s="15" t="s">
        <v>1</v>
      </c>
    </row>
    <row r="261" spans="1:12" x14ac:dyDescent="0.2">
      <c r="B261" s="20" t="s">
        <v>294</v>
      </c>
      <c r="C261" s="21">
        <v>1</v>
      </c>
      <c r="D261" s="19">
        <f>LSUM02+LSum03+LSum05+LSum06+LSum07</f>
        <v>7.75</v>
      </c>
      <c r="E261" s="19">
        <f>HSum02+HSum03+HSum05+HSum06+HSum07</f>
        <v>135</v>
      </c>
      <c r="F261" s="26">
        <v>44</v>
      </c>
      <c r="G261" s="26">
        <v>90</v>
      </c>
      <c r="H261" s="22" t="str">
        <f>"0" &amp; " to " &amp; K261</f>
        <v>0 to 44</v>
      </c>
      <c r="I261" s="22" t="str">
        <f>(K261+1) &amp; " to " &amp;L261</f>
        <v>45 to 90</v>
      </c>
      <c r="J261" s="22" t="str">
        <f>"&gt; " &amp;(L261)+1</f>
        <v>&gt; 91</v>
      </c>
      <c r="K261" s="16">
        <f>F261</f>
        <v>44</v>
      </c>
      <c r="L261" s="16">
        <f>IF(G261&gt;K261,G261,"Error")</f>
        <v>90</v>
      </c>
    </row>
    <row r="262" spans="1:12" x14ac:dyDescent="0.2">
      <c r="B262" s="20" t="s">
        <v>295</v>
      </c>
      <c r="C262" s="21">
        <v>2</v>
      </c>
      <c r="D262" s="19">
        <f>LSum04+LSum08+LSum11+LSum12+LSum16+LSum17+LSum18</f>
        <v>13</v>
      </c>
      <c r="E262" s="19">
        <f>HSum04+HSum08+HSum11+HSum12+HSum16+HSum17+HSum18</f>
        <v>169</v>
      </c>
      <c r="F262" s="26">
        <v>33</v>
      </c>
      <c r="G262" s="26">
        <v>120</v>
      </c>
      <c r="H262" s="22" t="str">
        <f>"0" &amp; " to " &amp; K262</f>
        <v>0 to 33</v>
      </c>
      <c r="I262" s="22" t="str">
        <f>(K262+1) &amp; " to " &amp;L262</f>
        <v>34 to 120</v>
      </c>
      <c r="J262" s="22" t="str">
        <f>"&gt; " &amp;(L262)+1</f>
        <v>&gt; 121</v>
      </c>
      <c r="K262" s="16">
        <f>F262</f>
        <v>33</v>
      </c>
      <c r="L262" s="16">
        <f>IF(G262&gt;K262,G262,"Error")</f>
        <v>120</v>
      </c>
    </row>
    <row r="263" spans="1:12" x14ac:dyDescent="0.2">
      <c r="B263" s="20" t="s">
        <v>296</v>
      </c>
      <c r="C263" s="21">
        <v>3</v>
      </c>
      <c r="D263" s="19">
        <f>LSum10+LSum12+LSum13+LSum14+LSum14+LSum15</f>
        <v>12</v>
      </c>
      <c r="E263" s="19">
        <f>HSum10+HSum12+HSum13+HSum14+HSum15</f>
        <v>138</v>
      </c>
      <c r="F263" s="26">
        <v>44</v>
      </c>
      <c r="G263" s="26">
        <v>100</v>
      </c>
      <c r="H263" s="22" t="str">
        <f>"0" &amp; " to " &amp; K263</f>
        <v>0 to 44</v>
      </c>
      <c r="I263" s="22" t="str">
        <f>(K263+1) &amp; " to " &amp;L263</f>
        <v>45 to 100</v>
      </c>
      <c r="J263" s="22" t="str">
        <f>"&gt; " &amp;(L263)+1</f>
        <v>&gt; 101</v>
      </c>
      <c r="K263" s="16">
        <f>F263</f>
        <v>44</v>
      </c>
      <c r="L263" s="16">
        <f>IF(G263&gt;K263,G263,"Error")</f>
        <v>100</v>
      </c>
    </row>
    <row r="264" spans="1:12" x14ac:dyDescent="0.2">
      <c r="B264" s="20" t="s">
        <v>297</v>
      </c>
      <c r="C264" s="21">
        <v>4</v>
      </c>
      <c r="D264" s="19">
        <f>LSum08+LSum09+Lsum19</f>
        <v>-1</v>
      </c>
      <c r="E264" s="19">
        <f>HSum08+Hsum09+HSum19</f>
        <v>64</v>
      </c>
      <c r="F264" s="26">
        <v>25</v>
      </c>
      <c r="G264" s="26">
        <v>56</v>
      </c>
      <c r="H264" s="22" t="str">
        <f>"0" &amp; " to " &amp; K264</f>
        <v>0 to 25</v>
      </c>
      <c r="I264" s="22" t="str">
        <f>(K264+1) &amp; " to " &amp;L264</f>
        <v>26 to 56</v>
      </c>
      <c r="J264" s="22" t="str">
        <f>"&gt; " &amp;(L264)+1</f>
        <v>&gt; 57</v>
      </c>
      <c r="K264" s="16">
        <f>F264</f>
        <v>25</v>
      </c>
      <c r="L264" s="16">
        <f>IF(G264&gt;K264,G264,"Error")</f>
        <v>56</v>
      </c>
    </row>
    <row r="265" spans="1:12" x14ac:dyDescent="0.2">
      <c r="B265" s="20" t="s">
        <v>298</v>
      </c>
      <c r="C265" s="21">
        <v>5</v>
      </c>
      <c r="D265" s="19">
        <f>LSum20+LSum21</f>
        <v>-18</v>
      </c>
      <c r="E265" s="19">
        <f>HSum20+HSum21</f>
        <v>29</v>
      </c>
      <c r="F265" s="26">
        <v>-10</v>
      </c>
      <c r="G265" s="26">
        <v>20</v>
      </c>
      <c r="H265" s="22" t="str">
        <f>"0" &amp; " to " &amp; K265</f>
        <v>0 to -10</v>
      </c>
      <c r="I265" s="22" t="str">
        <f>(K265+1) &amp; " to " &amp;L265</f>
        <v>-9 to 20</v>
      </c>
      <c r="J265" s="22" t="str">
        <f>"&gt; " &amp;(L265)+1</f>
        <v>&gt; 21</v>
      </c>
      <c r="K265" s="16">
        <f>F265</f>
        <v>-10</v>
      </c>
      <c r="L265" s="16">
        <f>IF(G265&gt;K265,G265,"Error")</f>
        <v>20</v>
      </c>
    </row>
  </sheetData>
  <autoFilter ref="A1:E265" xr:uid="{CD0E6516-8F3A-42EA-9BA8-04377070DC01}"/>
  <customSheetViews>
    <customSheetView guid="{02368DA2-9F6E-4109-9128-9A49EDAB5227}" outlineSymbols="0" showAutoFilter="1">
      <pane ySplit="1" topLeftCell="A2" activePane="bottomLeft" state="frozen"/>
      <selection pane="bottomLeft" activeCell="B34" sqref="B34"/>
      <pageMargins left="0.7" right="0.7" top="0.75" bottom="0.75" header="0.3" footer="0.3"/>
      <pageSetup orientation="portrait" horizontalDpi="0" verticalDpi="0" r:id="rId1"/>
      <autoFilter ref="A1:E233" xr:uid="{00000000-0000-0000-0000-000000000000}"/>
    </customSheetView>
    <customSheetView guid="{F1373BF7-1887-494A-9776-BF1A95E2AFBD}" outlineSymbols="0" showAutoFilter="1" hiddenRows="1">
      <pane ySplit="1" topLeftCell="A2" activePane="bottomLeft" state="frozen"/>
      <selection pane="bottomLeft" activeCell="D238" sqref="D238"/>
      <pageMargins left="0.7" right="0.7" top="0.75" bottom="0.75" header="0.3" footer="0.3"/>
      <pageSetup orientation="portrait" horizontalDpi="0" verticalDpi="0" r:id="rId2"/>
      <autoFilter ref="A1:E232" xr:uid="{00000000-0000-0000-0000-000000000000}"/>
    </customSheetView>
    <customSheetView guid="{20D2FE1A-A466-4066-826D-3DFB3FF9E899}" showAutoFilter="1" hiddenRows="1" hiddenColumns="1">
      <pane ySplit="18" topLeftCell="A20" activePane="bottomLeft" state="frozen"/>
      <selection pane="bottomLeft" activeCell="B273" sqref="B273"/>
      <pageMargins left="0.7" right="0.7" top="0.75" bottom="0.75" header="0.3" footer="0.3"/>
      <pageSetup orientation="portrait" horizontalDpi="0" verticalDpi="0" r:id="rId3"/>
      <autoFilter ref="A1:E265" xr:uid="{00000000-0000-0000-0000-000000000000}"/>
    </customSheetView>
  </customSheetView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108F-7691-4A21-9201-DBFEFBCAD71E}">
  <dimension ref="A1:D6"/>
  <sheetViews>
    <sheetView workbookViewId="0">
      <selection activeCell="C20" sqref="C20"/>
    </sheetView>
  </sheetViews>
  <sheetFormatPr baseColWidth="10" defaultColWidth="8.7109375" defaultRowHeight="16" x14ac:dyDescent="0.2"/>
  <cols>
    <col min="2" max="2" width="23.7109375" customWidth="1"/>
    <col min="3" max="3" width="31" customWidth="1"/>
    <col min="4" max="4" width="53.7109375" customWidth="1"/>
  </cols>
  <sheetData>
    <row r="1" spans="1:4" x14ac:dyDescent="0.2">
      <c r="A1" s="2" t="s">
        <v>7</v>
      </c>
      <c r="B1" s="2" t="s">
        <v>2</v>
      </c>
      <c r="C1" s="2" t="s">
        <v>3</v>
      </c>
      <c r="D1" s="2" t="s">
        <v>8</v>
      </c>
    </row>
    <row r="2" spans="1:4" x14ac:dyDescent="0.2">
      <c r="A2" s="3">
        <v>1</v>
      </c>
      <c r="B2" s="4" t="s">
        <v>9</v>
      </c>
      <c r="C2" s="4" t="s">
        <v>14</v>
      </c>
      <c r="D2" s="4" t="s">
        <v>19</v>
      </c>
    </row>
    <row r="3" spans="1:4" x14ac:dyDescent="0.2">
      <c r="A3" s="3">
        <v>2</v>
      </c>
      <c r="B3" s="4" t="s">
        <v>10</v>
      </c>
      <c r="C3" s="4" t="s">
        <v>15</v>
      </c>
      <c r="D3" s="4" t="s">
        <v>20</v>
      </c>
    </row>
    <row r="4" spans="1:4" x14ac:dyDescent="0.2">
      <c r="A4" s="3">
        <v>3</v>
      </c>
      <c r="B4" s="4" t="s">
        <v>11</v>
      </c>
      <c r="C4" s="4" t="s">
        <v>16</v>
      </c>
      <c r="D4" s="4" t="s">
        <v>21</v>
      </c>
    </row>
    <row r="5" spans="1:4" x14ac:dyDescent="0.2">
      <c r="A5" s="3">
        <v>4</v>
      </c>
      <c r="B5" s="4" t="s">
        <v>12</v>
      </c>
      <c r="C5" s="4" t="s">
        <v>17</v>
      </c>
      <c r="D5" s="4" t="s">
        <v>22</v>
      </c>
    </row>
    <row r="6" spans="1:4" x14ac:dyDescent="0.2">
      <c r="A6" s="3">
        <v>5</v>
      </c>
      <c r="B6" s="4" t="s">
        <v>13</v>
      </c>
      <c r="C6" s="4" t="s">
        <v>18</v>
      </c>
      <c r="D6" s="4" t="s">
        <v>23</v>
      </c>
    </row>
  </sheetData>
  <customSheetViews>
    <customSheetView guid="{02368DA2-9F6E-4109-9128-9A49EDAB5227}">
      <selection activeCell="C20" sqref="C20"/>
      <pageMargins left="0.7" right="0.7" top="0.75" bottom="0.75" header="0.3" footer="0.3"/>
    </customSheetView>
    <customSheetView guid="{F1373BF7-1887-494A-9776-BF1A95E2AFBD}">
      <selection activeCell="C20" sqref="C20"/>
      <pageMargins left="0.7" right="0.7" top="0.75" bottom="0.75" header="0.3" footer="0.3"/>
    </customSheetView>
    <customSheetView guid="{20D2FE1A-A466-4066-826D-3DFB3FF9E899}">
      <selection activeCell="C20" sqref="C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Questions</vt:lpstr>
      <vt:lpstr>For Access</vt:lpstr>
      <vt:lpstr>HSum02</vt:lpstr>
      <vt:lpstr>HSum03</vt:lpstr>
      <vt:lpstr>HSum04</vt:lpstr>
      <vt:lpstr>HSum05</vt:lpstr>
      <vt:lpstr>HSum06</vt:lpstr>
      <vt:lpstr>HSum07</vt:lpstr>
      <vt:lpstr>HSum08</vt:lpstr>
      <vt:lpstr>Hsum09</vt:lpstr>
      <vt:lpstr>HSum10</vt:lpstr>
      <vt:lpstr>HSum11</vt:lpstr>
      <vt:lpstr>HSum12</vt:lpstr>
      <vt:lpstr>HSum13</vt:lpstr>
      <vt:lpstr>HSum14</vt:lpstr>
      <vt:lpstr>HSum15</vt:lpstr>
      <vt:lpstr>HSum16</vt:lpstr>
      <vt:lpstr>HSum17</vt:lpstr>
      <vt:lpstr>HSum18</vt:lpstr>
      <vt:lpstr>HSum19</vt:lpstr>
      <vt:lpstr>HSum20</vt:lpstr>
      <vt:lpstr>HSum21</vt:lpstr>
      <vt:lpstr>LSUM02</vt:lpstr>
      <vt:lpstr>LSum03</vt:lpstr>
      <vt:lpstr>LSum04</vt:lpstr>
      <vt:lpstr>LSum05</vt:lpstr>
      <vt:lpstr>LSum06</vt:lpstr>
      <vt:lpstr>LSum07</vt:lpstr>
      <vt:lpstr>LSum08</vt:lpstr>
      <vt:lpstr>LSum09</vt:lpstr>
      <vt:lpstr>LSum10</vt:lpstr>
      <vt:lpstr>LSum11</vt:lpstr>
      <vt:lpstr>LSum12</vt:lpstr>
      <vt:lpstr>LSum13</vt:lpstr>
      <vt:lpstr>LSum14</vt:lpstr>
      <vt:lpstr>LSum15</vt:lpstr>
      <vt:lpstr>LSum16</vt:lpstr>
      <vt:lpstr>LSum17</vt:lpstr>
      <vt:lpstr>LSum18</vt:lpstr>
      <vt:lpstr>Lsum19</vt:lpstr>
      <vt:lpstr>LSUM2</vt:lpstr>
      <vt:lpstr>LSum20</vt:lpstr>
      <vt:lpstr>LSum21</vt:lpstr>
      <vt:lpstr>LSum3</vt:lpstr>
      <vt:lpstr>LSum7</vt:lpstr>
      <vt:lpstr>LSum8</vt:lpstr>
      <vt:lpstr>LSum9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Olivo</dc:creator>
  <cp:lastModifiedBy>dannajolivo@outlook.com</cp:lastModifiedBy>
  <dcterms:created xsi:type="dcterms:W3CDTF">2019-10-20T20:37:50Z</dcterms:created>
  <dcterms:modified xsi:type="dcterms:W3CDTF">2019-11-15T13:12:12Z</dcterms:modified>
</cp:coreProperties>
</file>