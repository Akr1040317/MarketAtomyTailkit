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worksheet+xml" PartName="/xl/worksheets/sheet2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package.core-properties+xml" PartName="/docProps/core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BHC Report Range Definition" sheetId="2" r:id="rId5"/>
    <sheet state="visible" name="For Access" sheetId="3" r:id="rId6"/>
  </sheets>
  <definedNames>
    <definedName hidden="1" localSheetId="0" name="_xlnm._FilterDatabase">Questions!$A$1:$E$258</definedName>
  </definedNames>
  <calcPr/>
</workbook>
</file>

<file path=xl/sharedStrings.xml><?xml version="1.0" encoding="utf-8"?>
<sst xmlns="http://schemas.openxmlformats.org/spreadsheetml/2006/main" count="511" uniqueCount="294">
  <si>
    <t>#</t>
  </si>
  <si>
    <t>IP</t>
  </si>
  <si>
    <t>Category</t>
  </si>
  <si>
    <t>Low</t>
  </si>
  <si>
    <t>High</t>
  </si>
  <si>
    <t>Submission ID</t>
  </si>
  <si>
    <t>Submission Date</t>
  </si>
  <si>
    <t>What is the name of your business?</t>
  </si>
  <si>
    <t>Street Address</t>
  </si>
  <si>
    <t>Street Address Line 2</t>
  </si>
  <si>
    <t>City</t>
  </si>
  <si>
    <t>State / Province</t>
  </si>
  <si>
    <t>Postal / Zip Code</t>
  </si>
  <si>
    <t>Country</t>
  </si>
  <si>
    <t>What is the phone number for your business?</t>
  </si>
  <si>
    <t>What is the website address for your business?</t>
  </si>
  <si>
    <t>When did you first start your business?</t>
  </si>
  <si>
    <t>What type of business do you have?</t>
  </si>
  <si>
    <t>What is the legal status of your business?</t>
  </si>
  <si>
    <t>Is this a new start up or an established business?</t>
  </si>
  <si>
    <t>Who is the primary contact?</t>
  </si>
  <si>
    <t>What is the best phone number for the primary contact?</t>
  </si>
  <si>
    <t>What is the email for the primary contact?</t>
  </si>
  <si>
    <t>Section 2 - Business Preparation</t>
  </si>
  <si>
    <t>Do you currently have a Vision Statement for your business?</t>
  </si>
  <si>
    <t>Yes/No</t>
  </si>
  <si>
    <t>Do you currently have a Mission Statement for your business?</t>
  </si>
  <si>
    <t>Have you created a Business Model for your business?</t>
  </si>
  <si>
    <t>Have you created a Financial Model for your business?</t>
  </si>
  <si>
    <t>Have you created a Product/Service Pricing Model for your business?</t>
  </si>
  <si>
    <t>Have you created a Go-To-Market Strategy for your business</t>
  </si>
  <si>
    <t>Have you created a One-Page Investor Summary for your business</t>
  </si>
  <si>
    <t>Have you created a Private Placement memorandum (PPM) for your business</t>
  </si>
  <si>
    <t>Have you created a Forward Looking (Save Harbor) Statement for your business</t>
  </si>
  <si>
    <t>Is your business currently generating revenue?</t>
  </si>
  <si>
    <t>If not, how long do you predict it will take to get there?</t>
  </si>
  <si>
    <t>Single</t>
  </si>
  <si>
    <t>What are some of the key problems you see with your business right now? (Select all that apply)</t>
  </si>
  <si>
    <t>Multiple</t>
  </si>
  <si>
    <t>Section 2 Summary</t>
  </si>
  <si>
    <t>Totals</t>
  </si>
  <si>
    <t>Section 3 - Ownership Structure</t>
  </si>
  <si>
    <t>Are you the sole owner of your business?</t>
  </si>
  <si>
    <t>Is there someone else you need to get approval from to make business decisions?</t>
  </si>
  <si>
    <t>Are you or any other owners of your company women, minorities, veterans or a disabled veteran?</t>
  </si>
  <si>
    <t>Is there stock set aside for future investors and/or employees?</t>
  </si>
  <si>
    <t>Have you established any strategic alliances or partners?</t>
  </si>
  <si>
    <t>End of 3 Summary</t>
  </si>
  <si>
    <t>Section 4 - Business Funding Position</t>
  </si>
  <si>
    <t>Looking generally at your business, how would you describe its financial position?</t>
  </si>
  <si>
    <t>How has the business been financed to date? (select all that apply)</t>
  </si>
  <si>
    <t>How much money have you and other founders invested in the business to date?</t>
  </si>
  <si>
    <t>Are you looking to attract additional investment funds?</t>
  </si>
  <si>
    <t>If so, how much are you looking to raise?</t>
  </si>
  <si>
    <t>What do you need the money for? (select all that apply)?</t>
  </si>
  <si>
    <t>How much do you presently have in immediately available funds, either already in the business or to inject into the business?</t>
  </si>
  <si>
    <t>End of 4 Summary</t>
  </si>
  <si>
    <t>Section 5 - Business Milestone Achievements</t>
  </si>
  <si>
    <t>What Milestones have been achieved to date? (Check all that apply)</t>
  </si>
  <si>
    <t>What Milestones are currently in the pipeline? (Check all that apply)</t>
  </si>
  <si>
    <t>How are you performing toward those milestone achievements?</t>
  </si>
  <si>
    <t>Are the people in place to help meet these milestones?</t>
  </si>
  <si>
    <t>What is your exit strategy?</t>
  </si>
  <si>
    <t>End of 5 Summary</t>
  </si>
  <si>
    <t>Section 6 - Business Structure &amp; Organization</t>
  </si>
  <si>
    <t>Is this a home office company or will  you need additional office space?</t>
  </si>
  <si>
    <t>How many people do you employ in total?</t>
  </si>
  <si>
    <t>How many people will you employ at full growth?</t>
  </si>
  <si>
    <t>Do you have an HR department internally, or is it outsourced?</t>
  </si>
  <si>
    <t>Is there a defined culture within your organization?</t>
  </si>
  <si>
    <t>Do you have a high turnover of employees?</t>
  </si>
  <si>
    <t>Do you have issues with team engagement among employees?</t>
  </si>
  <si>
    <t>Have you developed a policies and procedures manual?</t>
  </si>
  <si>
    <t>Do you have job descriptions in place for employees?</t>
  </si>
  <si>
    <t>Do you have an official review/discipline process in place?</t>
  </si>
  <si>
    <t>Do you have an active employee benefits plan in place?</t>
  </si>
  <si>
    <t>Do you have an IT department internally, or is it outsourced?</t>
  </si>
  <si>
    <t>Will you be seeking to hire new employees over next 12 months?</t>
  </si>
  <si>
    <t>Have you used external consultants to date?</t>
  </si>
  <si>
    <t>Would you consider using part-time consultants to fulfill some of the key functions within the company?</t>
  </si>
  <si>
    <t>What skill gaps do you currently feel you need to fill in order to grow your business? (Check all that apply)</t>
  </si>
  <si>
    <t>End of 6 Summary</t>
  </si>
  <si>
    <t>Section 7 - Executive Management Team</t>
  </si>
  <si>
    <t>Do you have Executives other than yourself?</t>
  </si>
  <si>
    <t>What key executive functions are currently in place? (Check all that apply)</t>
  </si>
  <si>
    <t>Have any of your  Key Executives previously had successful business ventures?</t>
  </si>
  <si>
    <t>Do any of the Key Executives have Founder shares in the business?</t>
  </si>
  <si>
    <t>Have any of the Key Executives invested into the business?</t>
  </si>
  <si>
    <t>Are all executive team members direct employees of the business?</t>
  </si>
  <si>
    <t>Do you have a Board of Directors?</t>
  </si>
  <si>
    <t>Do you have an Advisory Board?</t>
  </si>
  <si>
    <t>Do you have external professional advisors, consultants or coaches in any specific area of activity?</t>
  </si>
  <si>
    <t>End of 7 Summary</t>
  </si>
  <si>
    <t>Section 8 - Products or Services</t>
  </si>
  <si>
    <t>What do you sell?</t>
  </si>
  <si>
    <t>How do you characterize your business?</t>
  </si>
  <si>
    <t>If you are a service oriented business, are you the provider/creator of your service?</t>
  </si>
  <si>
    <t>If you are a product oriented business, are you the manufacturer of your product?</t>
  </si>
  <si>
    <t>Do you have an existing Minimal Viable Product (MVP) for your business</t>
  </si>
  <si>
    <t>What is your expectation of Net Profit before Taxes?</t>
  </si>
  <si>
    <t>Would your products/services be considered "must haves" or "like to haves"</t>
  </si>
  <si>
    <t>Do you have to drive demand or does the market take care of it?</t>
  </si>
  <si>
    <t>End of 8 Summary</t>
  </si>
  <si>
    <t>Section 9 - Intellectual Property</t>
  </si>
  <si>
    <t>Do you have any proprietary technology or manufacturing processes?</t>
  </si>
  <si>
    <t>Do you have any patents, copyrights or trademarks filed or pending?</t>
  </si>
  <si>
    <t>Are you satisfied that your IP is being protected at the manufacturing level?</t>
  </si>
  <si>
    <t>Do you work with an established IP attorney?</t>
  </si>
  <si>
    <t>Do you suffer any issues with regard to IP infringement?</t>
  </si>
  <si>
    <t>Do you suffer problems with counterfeit products competing with you in the market?</t>
  </si>
  <si>
    <t>End of 9 Summary</t>
  </si>
  <si>
    <t>Section 10 - Scalability</t>
  </si>
  <si>
    <t>Where are your products/services currently being sold?</t>
  </si>
  <si>
    <t>Is your business model one which will enable you to significantly scale up your business?</t>
  </si>
  <si>
    <t>How do you see the future for your business?</t>
  </si>
  <si>
    <t>How long before  you see yourself becoming profitable?</t>
  </si>
  <si>
    <t>Are you exploiting the company’s full potential for “Geographical” scalaability?</t>
  </si>
  <si>
    <t>Would you consider setting up a physical presence in overseas markets?</t>
  </si>
  <si>
    <t>Are you exploiting the company’s full potential for “Market” scalability?</t>
  </si>
  <si>
    <t>Are you exploiting the company’s full potential for “Product scalability"?</t>
  </si>
  <si>
    <t>End of 10 Summary</t>
  </si>
  <si>
    <t>Section 11 - Revenue</t>
  </si>
  <si>
    <t>Do you currently have more than ONE revenue stream?</t>
  </si>
  <si>
    <t>Are you planning to increase the number of revenue streams?</t>
  </si>
  <si>
    <t>Are your sales patterns consistent or cyclical?</t>
  </si>
  <si>
    <t>Are you happy with the performance of all the revenue streams?</t>
  </si>
  <si>
    <t>How realistic is it to develop additional revenue streams? (on a scale of 1 to 5)</t>
  </si>
  <si>
    <t>What are the limiting factors for developing additional revenue streams?(Check all that apply)</t>
  </si>
  <si>
    <t>End of 11 Sumary</t>
  </si>
  <si>
    <t>Section 12 - Sales</t>
  </si>
  <si>
    <t>Where are your sales made?</t>
  </si>
  <si>
    <t>Have you developed revenue projections for the next 2-3 years?</t>
  </si>
  <si>
    <t>How frequently do you track your performance against these projections?</t>
  </si>
  <si>
    <t>Have you developed revenue projections for the next 3-5 years?</t>
  </si>
  <si>
    <t>Do you have an internal sales force?</t>
  </si>
  <si>
    <t>How many people in the company are responsible for making sales?</t>
  </si>
  <si>
    <t>Are your salespeople full-time or part-time?</t>
  </si>
  <si>
    <t>Do you have an established sales process in place?</t>
  </si>
  <si>
    <t>How are your sales personnel compensated? (Check all that apply)</t>
  </si>
  <si>
    <t>Is your sales team meeting defined goals?</t>
  </si>
  <si>
    <t>Do you have an in-house sales training program?</t>
  </si>
  <si>
    <t>Do your field sales people also manage ongoing customer relationships?</t>
  </si>
  <si>
    <t>How long is the sales cycle?</t>
  </si>
  <si>
    <t>Do you export/work internationally?</t>
  </si>
  <si>
    <t>End of 12 Summary</t>
  </si>
  <si>
    <t>Section 13 - Customer Identification</t>
  </si>
  <si>
    <t>What percentage of your total sales is generated by your top 5 customers?</t>
  </si>
  <si>
    <t>How would you describe your target customer list?</t>
  </si>
  <si>
    <t>How would you describe your target market?</t>
  </si>
  <si>
    <t>Do you have a clear profile of your ideal customer?</t>
  </si>
  <si>
    <t>Are your customers readily accessible geographically?</t>
  </si>
  <si>
    <t>Are your customers readily accessible digitally?</t>
  </si>
  <si>
    <t>Do you have previous experience successfully selling other products/services to this customer set?</t>
  </si>
  <si>
    <t>How would you rate your customer relations overall?</t>
  </si>
  <si>
    <t>Do you get referral business from existing customers?</t>
  </si>
  <si>
    <t>End of 13 Summary</t>
  </si>
  <si>
    <t>Section 14 - Market Dynamics</t>
  </si>
  <si>
    <t>How well defined is the size of your market on a scale of 1 to 5?</t>
  </si>
  <si>
    <t>Do you consider your company to have an established presence in its markets?</t>
  </si>
  <si>
    <t>How well do you feel you have penetrated those markets?</t>
  </si>
  <si>
    <t>Have you conducted a Strengths, Weakness, Opportunities and Threats (S.W.O.T.) analysis on your business</t>
  </si>
  <si>
    <t>Have you identified your primary competitive advantage?</t>
  </si>
  <si>
    <t>Do you have a plan to overcome your competitive disadvantages?</t>
  </si>
  <si>
    <t>Do you have serious competition?</t>
  </si>
  <si>
    <t>Are they powerhouse companies with massive resources you cannot match?</t>
  </si>
  <si>
    <t>How do your competitors see you in your markets?</t>
  </si>
  <si>
    <t>Do you have a handle on market trends effecting your business?</t>
  </si>
  <si>
    <t>Do these represent opportunities or threats to the business in the future?</t>
  </si>
  <si>
    <t>Is your market need well-known, or will you be required to educate your market as to the problem the need solved first?</t>
  </si>
  <si>
    <t>single</t>
  </si>
  <si>
    <t>End of 14 Summary</t>
  </si>
  <si>
    <t>Section 15 - Marketing</t>
  </si>
  <si>
    <t>Does your company have a dominant brand identity?</t>
  </si>
  <si>
    <t>Does your company have registered domain names to support its market presence?</t>
  </si>
  <si>
    <t>Does your company have a professionally designed brand logo?</t>
  </si>
  <si>
    <t>Do your products/services have clear brand identities?</t>
  </si>
  <si>
    <t>How do you perceive your company's image today?</t>
  </si>
  <si>
    <t>If rated low, do you know why?</t>
  </si>
  <si>
    <t>Have you made efforts to strengthen your image in the past 12 months?</t>
  </si>
  <si>
    <t>Do you have a marketing strategy incorporated into a Marketing Plan?</t>
  </si>
  <si>
    <t>How often is this marketing strategy revisited and updated?</t>
  </si>
  <si>
    <t>Do you have an identified marketing budget?</t>
  </si>
  <si>
    <t>What percentage of total gross revenue is attributed to marketing</t>
  </si>
  <si>
    <t>Do you have anyone specifically in charge of marketing in-house or outside?</t>
  </si>
  <si>
    <t>Is there a corporate focus on the marketing of the company?</t>
  </si>
  <si>
    <t>What are the different channels you use to promote the business currently? (Check all that apply)</t>
  </si>
  <si>
    <t>Are you active on social media?</t>
  </si>
  <si>
    <t>Do you have in-house expert on social media or is it outsourced?</t>
  </si>
  <si>
    <t>Are your customers on social media?</t>
  </si>
  <si>
    <t>End of 15 Summary</t>
  </si>
  <si>
    <t>Section 16 - Financial Management</t>
  </si>
  <si>
    <t>Have you been actively maintaining ongoing record keeping for financial purposes?</t>
  </si>
  <si>
    <t>Do you have internal bookkeeping capabilities?</t>
  </si>
  <si>
    <t>Do you have internal accounting staff or is it out-sourced?</t>
  </si>
  <si>
    <t>Do you employ an external CPA or accountant to prepare tax returns?</t>
  </si>
  <si>
    <t>Do you feel you have liquidity issues or cash flow problems?</t>
  </si>
  <si>
    <t>Do you have the bank facilities and relationships in place to support cash flows?</t>
  </si>
  <si>
    <t>Does the company carry any debt? (excluding equity investors)</t>
  </si>
  <si>
    <t>If so, how much?</t>
  </si>
  <si>
    <t>Are you happy with your current banking relationship?</t>
  </si>
  <si>
    <t>Is your company profitable?</t>
  </si>
  <si>
    <t>Have you reached breakeven?</t>
  </si>
  <si>
    <t>Are you able to determine if all your product or service lines make money?</t>
  </si>
  <si>
    <t>How closely do you monitor cash flows?</t>
  </si>
  <si>
    <t>Do you have an internal financial management system that you use?</t>
  </si>
  <si>
    <t>Does your company produce annual budgets?</t>
  </si>
  <si>
    <t>Do you produce regular cash flow forecasts?</t>
  </si>
  <si>
    <t>If so, how accurate have they proven to be to date?</t>
  </si>
  <si>
    <t>Do you compare your actual performance against your forecasts?</t>
  </si>
  <si>
    <t>Are all your taxes filed up to date?</t>
  </si>
  <si>
    <t>End of 16 Summary</t>
  </si>
  <si>
    <t>Section 17 - Pricing Models</t>
  </si>
  <si>
    <t>Does the company have robust pricing models for all its products?</t>
  </si>
  <si>
    <t>Do you have a clear idea of your unit costs of production?</t>
  </si>
  <si>
    <t>Are you selling to wholesalers/ retailers/ public directly? (Check all that apply)</t>
  </si>
  <si>
    <t>Is your pricing model dictated by competition or by profit goals?</t>
  </si>
  <si>
    <t>If product based, do you offer value-added “services” in addition to the company’s offerings?</t>
  </si>
  <si>
    <t>End Section 17 Summary</t>
  </si>
  <si>
    <t>Section 18 - Cost Controls</t>
  </si>
  <si>
    <t>Do you consider you have a cost problem generally?</t>
  </si>
  <si>
    <t>If so, do you know where problem lies?</t>
  </si>
  <si>
    <t>Have you tried or been able to do anything positive to turn these problems around?</t>
  </si>
  <si>
    <t>Do you have any systems in place to control costs?</t>
  </si>
  <si>
    <t>Is there a cost control culture within your company?</t>
  </si>
  <si>
    <t>End Section 18 Summary</t>
  </si>
  <si>
    <t>Section 19 - Production</t>
  </si>
  <si>
    <t>Are you a Manufacturing Company?</t>
  </si>
  <si>
    <t>Where are your products manufactured?</t>
  </si>
  <si>
    <t>Are you satisfied with your manufacturing operations?</t>
  </si>
  <si>
    <t>Do you suffer from quality control issues?</t>
  </si>
  <si>
    <t>If manufacturing overseas, do you have a local rep looking after you?</t>
  </si>
  <si>
    <t>Are you always able to fulfill orders on time?</t>
  </si>
  <si>
    <t>Are you satisfied with your costs of production?</t>
  </si>
  <si>
    <t>Do you have problems sourcing supplies and raw materials?</t>
  </si>
  <si>
    <t>How much control do you have over the manufacturing process?</t>
  </si>
  <si>
    <t>Do you receive satisfactory credit terms from your suppliers?</t>
  </si>
  <si>
    <t>Are you normally able to pay creditors on time?</t>
  </si>
  <si>
    <t>Are you governed by Health &amp; Safety or other regulatory matters?</t>
  </si>
  <si>
    <t>Are you in compliance with all appropriate regulations and laws?</t>
  </si>
  <si>
    <t>Are your company’s internal production processes robust?</t>
  </si>
  <si>
    <t>How engaged is  your company regarding new product development?</t>
  </si>
  <si>
    <t>Is anyone responsible for new product development?</t>
  </si>
  <si>
    <t>End Section 19 Summary</t>
  </si>
  <si>
    <t>Section 20 - Personal Assessment</t>
  </si>
  <si>
    <t>Are you permanently stressed out due to work issues?</t>
  </si>
  <si>
    <t>What stressors seem to keep you up at night? (Check all that apply</t>
  </si>
  <si>
    <t>Do you feel your life/work balance is skewed in the wrong direction?</t>
  </si>
  <si>
    <t>Are you ever able to take time out to recharge?</t>
  </si>
  <si>
    <t>Do you have a team in place to fill in gaps when you are away?</t>
  </si>
  <si>
    <t>Do you feel the company can operate effectively in your absence?</t>
  </si>
  <si>
    <t>Do you have "Key Person" Insurance or some protective measure in place if you should become incapacitated?</t>
  </si>
  <si>
    <t>Are you able to pay yourself what you think you’re worth?</t>
  </si>
  <si>
    <t>On an hourly basis, are you the best or worst paid person in your company?</t>
  </si>
  <si>
    <t>Do you have a “Legacy” plan in place for your business?</t>
  </si>
  <si>
    <t>Do you have a successor in mind?</t>
  </si>
  <si>
    <t>If so, is your successor being groomed to take over?</t>
  </si>
  <si>
    <t>Looking at your overall feelings about becoming a business owner, which answer best sums up your feelings?</t>
  </si>
  <si>
    <t>End Section 20 Summary</t>
  </si>
  <si>
    <t>Section 21 - General</t>
  </si>
  <si>
    <t>Do you see any of the following looming external threats happening that could upset your business? (Check all that apply)</t>
  </si>
  <si>
    <t>Are there any internal weakness or threats that could hinder your growth as a company? (Check all that apply)</t>
  </si>
  <si>
    <t>Do you see any changes externally that could create great opportunities for growth?</t>
  </si>
  <si>
    <t>Do you feel you already have the internal resources to exploit those opportunities?</t>
  </si>
  <si>
    <t>How Close is the Company to reaching it's full potential as it is right now?</t>
  </si>
  <si>
    <t>Would it require a significant capital injection to take it to another level?</t>
  </si>
  <si>
    <t>Would it require an enhanced team to take it there?</t>
  </si>
  <si>
    <t>End of Section 21 Summary</t>
  </si>
  <si>
    <t>Low Range Top</t>
  </si>
  <si>
    <t>Med Range Top</t>
  </si>
  <si>
    <t>Set Low Range Top</t>
  </si>
  <si>
    <t>Set Med Range Top</t>
  </si>
  <si>
    <t>Med</t>
  </si>
  <si>
    <t>Hi</t>
  </si>
  <si>
    <t>Section 1</t>
  </si>
  <si>
    <t>Section 2</t>
  </si>
  <si>
    <t>Section 3</t>
  </si>
  <si>
    <t>Section 4</t>
  </si>
  <si>
    <t>Section 5</t>
  </si>
  <si>
    <t>Section</t>
  </si>
  <si>
    <t>Section 1 Low Rating Text</t>
  </si>
  <si>
    <t>Section 1 Medium Rating Text</t>
  </si>
  <si>
    <t>Section 1 High Rating Text</t>
  </si>
  <si>
    <t>Section 2 Low Rating Text</t>
  </si>
  <si>
    <t>Section 2 Medium Rating Text</t>
  </si>
  <si>
    <t>Section 2 High Rating Text</t>
  </si>
  <si>
    <t>Section 3 Low Rating Text</t>
  </si>
  <si>
    <t>Section 3 Medium Rating Text</t>
  </si>
  <si>
    <t>Section 3 High Rating Text</t>
  </si>
  <si>
    <t>Section 4 Low Rating Text</t>
  </si>
  <si>
    <t>Section 4 Medium Rating Text</t>
  </si>
  <si>
    <t>Section 4 High Rating Text</t>
  </si>
  <si>
    <t>Section 5 Low Rating Text</t>
  </si>
  <si>
    <t>Section 5 Medium Rating Text</t>
  </si>
  <si>
    <t>Section 5 High Rating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</si>
</sst>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>
      <sz val="12.0"/>
      <color rgb="FF000000"/>
      <name val="Calibri"/>
    </font>
    <font>
      <sz val="12.0"/>
      <name val="Arial"/>
    </font>
    <font>
      <b/>
      <sz val="12.0"/>
      <color rgb="FF0000FF"/>
      <name val="Arial"/>
    </font>
    <font>
      <b/>
      <sz val="12.0"/>
      <color rgb="FFC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C0C0C0"/>
        <bgColor rgb="FFC0C0C0"/>
      </patternFill>
    </fill>
  </fills>
  <borders count="5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top" wrapText="1"/>
    </xf>
    <xf borderId="0" fillId="0" fontId="0" numFmtId="0" xfId="0" applyAlignment="1" applyFont="1">
      <alignment horizontal="center"/>
    </xf>
    <xf borderId="1" fillId="2" fontId="3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shrinkToFit="0" vertical="top" wrapText="1"/>
    </xf>
    <xf borderId="1" fillId="4" fontId="4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2" fillId="0" fontId="0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0" fillId="0" fontId="0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3" fillId="5" fontId="9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right" shrinkToFit="0" wrapText="1"/>
    </xf>
    <xf borderId="4" fillId="0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5.57"/>
    <col customWidth="1" min="2" max="2" width="66.14"/>
    <col customWidth="1" min="3" max="3" width="12.29"/>
    <col customWidth="1" min="4" max="4" width="8.29"/>
    <col customWidth="1" min="5" max="5" width="8.57"/>
    <col customWidth="1" min="6" max="11" width="8.71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ht="15.75" customHeight="1" outlineLevel="1">
      <c r="A2" s="3">
        <v>1.0</v>
      </c>
      <c r="B2" s="4" t="s">
        <v>5</v>
      </c>
      <c r="C2" s="3"/>
    </row>
    <row r="3" ht="15.75" customHeight="1" outlineLevel="1">
      <c r="A3" s="3">
        <v>2.0</v>
      </c>
      <c r="B3" s="4" t="s">
        <v>6</v>
      </c>
      <c r="C3" s="3"/>
    </row>
    <row r="4" ht="15.75" customHeight="1" outlineLevel="1">
      <c r="A4" s="3">
        <v>3.0</v>
      </c>
      <c r="B4" s="4" t="s">
        <v>7</v>
      </c>
      <c r="C4" s="3"/>
    </row>
    <row r="5" ht="15.75" customHeight="1" outlineLevel="1">
      <c r="A5" s="3">
        <v>4.0</v>
      </c>
      <c r="B5" s="4" t="s">
        <v>8</v>
      </c>
      <c r="C5" s="3"/>
    </row>
    <row r="6" ht="15.75" customHeight="1" outlineLevel="1">
      <c r="A6" s="3">
        <v>5.0</v>
      </c>
      <c r="B6" s="4" t="s">
        <v>9</v>
      </c>
      <c r="C6" s="3"/>
    </row>
    <row r="7" ht="15.75" customHeight="1" outlineLevel="1">
      <c r="A7" s="3">
        <v>6.0</v>
      </c>
      <c r="B7" s="4" t="s">
        <v>10</v>
      </c>
      <c r="C7" s="3"/>
    </row>
    <row r="8" ht="15.75" customHeight="1" outlineLevel="1">
      <c r="A8" s="3">
        <v>7.0</v>
      </c>
      <c r="B8" s="4" t="s">
        <v>11</v>
      </c>
      <c r="C8" s="3"/>
    </row>
    <row r="9" ht="15.75" customHeight="1" outlineLevel="1">
      <c r="A9" s="3">
        <v>8.0</v>
      </c>
      <c r="B9" s="4" t="s">
        <v>12</v>
      </c>
      <c r="C9" s="3"/>
    </row>
    <row r="10" ht="15.75" customHeight="1" outlineLevel="1">
      <c r="A10" s="3">
        <v>9.0</v>
      </c>
      <c r="B10" s="4" t="s">
        <v>13</v>
      </c>
      <c r="C10" s="3"/>
    </row>
    <row r="11" ht="15.75" customHeight="1" outlineLevel="1">
      <c r="A11" s="3">
        <v>10.0</v>
      </c>
      <c r="B11" s="4" t="s">
        <v>14</v>
      </c>
      <c r="C11" s="3"/>
    </row>
    <row r="12" ht="15.75" customHeight="1" outlineLevel="1">
      <c r="A12" s="3">
        <v>11.0</v>
      </c>
      <c r="B12" s="4" t="s">
        <v>15</v>
      </c>
      <c r="C12" s="3"/>
    </row>
    <row r="13" ht="15.75" customHeight="1" outlineLevel="1">
      <c r="A13" s="3">
        <v>12.0</v>
      </c>
      <c r="B13" s="4" t="s">
        <v>16</v>
      </c>
      <c r="C13" s="3"/>
    </row>
    <row r="14" ht="15.75" customHeight="1" outlineLevel="1">
      <c r="A14" s="3">
        <v>13.0</v>
      </c>
      <c r="B14" s="4" t="s">
        <v>17</v>
      </c>
      <c r="C14" s="3"/>
    </row>
    <row r="15" ht="15.75" customHeight="1" outlineLevel="1">
      <c r="A15" s="3">
        <v>14.0</v>
      </c>
      <c r="B15" s="4" t="s">
        <v>18</v>
      </c>
      <c r="C15" s="3"/>
    </row>
    <row r="16" ht="15.75" customHeight="1" outlineLevel="1">
      <c r="A16" s="3">
        <v>15.0</v>
      </c>
      <c r="B16" s="4" t="s">
        <v>19</v>
      </c>
      <c r="C16" s="3"/>
    </row>
    <row r="17" ht="15.75" customHeight="1" outlineLevel="1">
      <c r="A17" s="3">
        <v>16.0</v>
      </c>
      <c r="B17" s="4" t="s">
        <v>20</v>
      </c>
      <c r="C17" s="3"/>
    </row>
    <row r="18" ht="15.75" customHeight="1" outlineLevel="1">
      <c r="A18" s="3">
        <v>17.0</v>
      </c>
      <c r="B18" s="4" t="s">
        <v>21</v>
      </c>
      <c r="C18" s="3"/>
    </row>
    <row r="19" ht="15.75" customHeight="1" outlineLevel="1">
      <c r="A19" s="3">
        <v>18.0</v>
      </c>
      <c r="B19" s="4" t="s">
        <v>22</v>
      </c>
      <c r="C19" s="3"/>
    </row>
    <row r="20" ht="15.75" customHeight="1">
      <c r="A20" s="5"/>
      <c r="B20" s="6" t="s">
        <v>23</v>
      </c>
      <c r="C20" s="5"/>
    </row>
    <row r="21" ht="15.75" customHeight="1">
      <c r="A21" s="3">
        <v>19.0</v>
      </c>
      <c r="B21" s="4" t="s">
        <v>24</v>
      </c>
      <c r="C21" s="3" t="s">
        <v>25</v>
      </c>
      <c r="D21" s="3">
        <v>0.0</v>
      </c>
      <c r="E21" s="3">
        <v>2.0</v>
      </c>
    </row>
    <row r="22" ht="15.75" customHeight="1">
      <c r="A22" s="3">
        <v>20.0</v>
      </c>
      <c r="B22" s="4" t="s">
        <v>26</v>
      </c>
      <c r="C22" s="3" t="s">
        <v>25</v>
      </c>
      <c r="D22" s="3">
        <v>0.0</v>
      </c>
      <c r="E22" s="3">
        <v>2.0</v>
      </c>
    </row>
    <row r="23" ht="15.75" customHeight="1">
      <c r="A23" s="3">
        <v>21.0</v>
      </c>
      <c r="B23" s="4" t="s">
        <v>27</v>
      </c>
      <c r="C23" s="3" t="s">
        <v>25</v>
      </c>
      <c r="D23" s="3">
        <v>0.0</v>
      </c>
      <c r="E23" s="3">
        <v>2.0</v>
      </c>
    </row>
    <row r="24" ht="15.75" customHeight="1">
      <c r="A24" s="3">
        <v>22.0</v>
      </c>
      <c r="B24" s="4" t="s">
        <v>28</v>
      </c>
      <c r="C24" s="3" t="s">
        <v>25</v>
      </c>
      <c r="D24" s="3">
        <v>0.0</v>
      </c>
      <c r="E24" s="3">
        <v>2.0</v>
      </c>
    </row>
    <row r="25" ht="15.75" customHeight="1">
      <c r="A25" s="3">
        <v>23.0</v>
      </c>
      <c r="B25" s="4" t="s">
        <v>29</v>
      </c>
      <c r="C25" s="3" t="s">
        <v>25</v>
      </c>
      <c r="D25" s="3">
        <v>1.0</v>
      </c>
      <c r="E25" s="3">
        <v>2.0</v>
      </c>
    </row>
    <row r="26" ht="15.75" customHeight="1">
      <c r="A26" s="3">
        <v>24.0</v>
      </c>
      <c r="B26" s="4" t="s">
        <v>30</v>
      </c>
      <c r="C26" s="3" t="s">
        <v>25</v>
      </c>
      <c r="D26" s="3">
        <v>0.0</v>
      </c>
      <c r="E26" s="3">
        <v>2.0</v>
      </c>
    </row>
    <row r="27" ht="15.75" customHeight="1">
      <c r="A27" s="3">
        <v>25.0</v>
      </c>
      <c r="B27" s="4" t="s">
        <v>31</v>
      </c>
      <c r="C27" s="3" t="s">
        <v>25</v>
      </c>
      <c r="D27" s="3">
        <v>1.0</v>
      </c>
      <c r="E27" s="3">
        <v>2.0</v>
      </c>
    </row>
    <row r="28" ht="15.75" customHeight="1">
      <c r="A28" s="3">
        <v>26.0</v>
      </c>
      <c r="B28" s="4" t="s">
        <v>32</v>
      </c>
      <c r="C28" s="3" t="s">
        <v>25</v>
      </c>
      <c r="D28" s="3">
        <v>0.0</v>
      </c>
      <c r="E28" s="3">
        <v>2.0</v>
      </c>
    </row>
    <row r="29" ht="15.75" customHeight="1">
      <c r="A29" s="3">
        <v>27.0</v>
      </c>
      <c r="B29" s="4" t="s">
        <v>33</v>
      </c>
      <c r="C29" s="3" t="s">
        <v>25</v>
      </c>
      <c r="D29" s="3">
        <v>0.0</v>
      </c>
      <c r="E29" s="3">
        <v>2.0</v>
      </c>
    </row>
    <row r="30" ht="15.75" customHeight="1">
      <c r="A30" s="3">
        <v>28.0</v>
      </c>
      <c r="B30" s="4" t="s">
        <v>34</v>
      </c>
      <c r="C30" s="3" t="s">
        <v>25</v>
      </c>
      <c r="D30" s="3">
        <v>0.0</v>
      </c>
      <c r="E30" s="3">
        <v>2.0</v>
      </c>
    </row>
    <row r="31" ht="15.75" customHeight="1">
      <c r="A31" s="3">
        <v>29.0</v>
      </c>
      <c r="B31" s="4" t="s">
        <v>35</v>
      </c>
      <c r="C31" s="3" t="s">
        <v>36</v>
      </c>
      <c r="D31" s="3">
        <v>0.0</v>
      </c>
      <c r="E31" s="3">
        <v>3.0</v>
      </c>
    </row>
    <row r="32" ht="15.75" customHeight="1">
      <c r="A32" s="3">
        <v>30.0</v>
      </c>
      <c r="B32" s="4" t="s">
        <v>37</v>
      </c>
      <c r="C32" s="3" t="s">
        <v>38</v>
      </c>
      <c r="D32" s="3">
        <v>-3.25</v>
      </c>
      <c r="E32" s="3">
        <v>0.0</v>
      </c>
    </row>
    <row r="33" ht="15.75" customHeight="1">
      <c r="A33" s="3">
        <v>31.0</v>
      </c>
      <c r="B33" s="7" t="s">
        <v>39</v>
      </c>
      <c r="C33" s="7" t="s">
        <v>40</v>
      </c>
      <c r="D33" s="7" t="str">
        <f t="shared" ref="D33:E33" si="1">SUM(D21:D32)</f>
        <v>-1.25</v>
      </c>
      <c r="E33" s="7" t="str">
        <f t="shared" si="1"/>
        <v>23</v>
      </c>
    </row>
    <row r="34" ht="15.75" customHeight="1">
      <c r="A34" s="5"/>
      <c r="B34" s="6" t="s">
        <v>41</v>
      </c>
      <c r="C34" s="5"/>
      <c r="D34" s="8"/>
      <c r="E34" s="8"/>
    </row>
    <row r="35" ht="15.75" customHeight="1">
      <c r="A35" s="3">
        <v>32.0</v>
      </c>
      <c r="B35" s="4" t="s">
        <v>42</v>
      </c>
      <c r="C35" s="3" t="s">
        <v>25</v>
      </c>
      <c r="D35" s="3">
        <v>1.0</v>
      </c>
      <c r="E35" s="3">
        <v>2.0</v>
      </c>
    </row>
    <row r="36" ht="15.75" customHeight="1">
      <c r="A36" s="3">
        <v>33.0</v>
      </c>
      <c r="B36" s="4" t="s">
        <v>43</v>
      </c>
      <c r="C36" s="3" t="s">
        <v>25</v>
      </c>
      <c r="D36" s="3">
        <v>1.0</v>
      </c>
      <c r="E36" s="3">
        <v>2.0</v>
      </c>
    </row>
    <row r="37" ht="15.75" customHeight="1">
      <c r="A37" s="3">
        <v>34.0</v>
      </c>
      <c r="B37" s="4" t="s">
        <v>44</v>
      </c>
      <c r="C37" s="3" t="s">
        <v>25</v>
      </c>
      <c r="D37" s="3">
        <v>1.0</v>
      </c>
      <c r="E37" s="3">
        <v>2.0</v>
      </c>
    </row>
    <row r="38" ht="15.75" customHeight="1">
      <c r="A38" s="3">
        <v>35.0</v>
      </c>
      <c r="B38" s="4" t="s">
        <v>45</v>
      </c>
      <c r="C38" s="3" t="s">
        <v>25</v>
      </c>
      <c r="D38" s="3">
        <v>0.0</v>
      </c>
      <c r="E38" s="3">
        <v>2.0</v>
      </c>
    </row>
    <row r="39" ht="15.75" customHeight="1">
      <c r="A39" s="3">
        <v>36.0</v>
      </c>
      <c r="B39" s="4" t="s">
        <v>46</v>
      </c>
      <c r="C39" s="3" t="s">
        <v>25</v>
      </c>
      <c r="D39" s="3">
        <v>1.0</v>
      </c>
      <c r="E39" s="3">
        <v>3.0</v>
      </c>
    </row>
    <row r="40" ht="15.75" customHeight="1">
      <c r="A40" s="3">
        <v>37.0</v>
      </c>
      <c r="B40" s="7" t="s">
        <v>47</v>
      </c>
      <c r="C40" s="7" t="s">
        <v>40</v>
      </c>
      <c r="D40" s="7" t="str">
        <f t="shared" ref="D40:E40" si="2">SUM(D35:D39)</f>
        <v>4</v>
      </c>
      <c r="E40" s="7" t="str">
        <f t="shared" si="2"/>
        <v>11</v>
      </c>
    </row>
    <row r="41" ht="15.75" customHeight="1">
      <c r="A41" s="5"/>
      <c r="B41" s="6" t="s">
        <v>48</v>
      </c>
      <c r="C41" s="5"/>
      <c r="D41" s="8"/>
      <c r="E41" s="8"/>
    </row>
    <row r="42" ht="15.75" customHeight="1">
      <c r="A42" s="3">
        <v>38.0</v>
      </c>
      <c r="B42" s="4" t="s">
        <v>49</v>
      </c>
      <c r="C42" s="9" t="s">
        <v>36</v>
      </c>
      <c r="D42" s="3">
        <v>1.0</v>
      </c>
      <c r="E42" s="3">
        <v>5.0</v>
      </c>
    </row>
    <row r="43" ht="15.75" customHeight="1">
      <c r="A43" s="3">
        <v>39.0</v>
      </c>
      <c r="B43" s="4" t="s">
        <v>50</v>
      </c>
      <c r="C43" s="3" t="s">
        <v>38</v>
      </c>
      <c r="D43" s="3">
        <v>1.0</v>
      </c>
      <c r="E43" s="3">
        <v>11.0</v>
      </c>
    </row>
    <row r="44" ht="15.75" customHeight="1">
      <c r="A44" s="3">
        <v>40.0</v>
      </c>
      <c r="B44" s="4" t="s">
        <v>51</v>
      </c>
      <c r="C44" s="3" t="s">
        <v>36</v>
      </c>
      <c r="D44" s="3">
        <v>1.0</v>
      </c>
      <c r="E44" s="3">
        <v>5.0</v>
      </c>
    </row>
    <row r="45" ht="15.75" customHeight="1">
      <c r="A45" s="3">
        <v>41.0</v>
      </c>
      <c r="B45" s="4" t="s">
        <v>52</v>
      </c>
      <c r="C45" s="3" t="s">
        <v>36</v>
      </c>
      <c r="D45" s="3">
        <v>0.0</v>
      </c>
      <c r="E45" s="3">
        <v>2.0</v>
      </c>
    </row>
    <row r="46" ht="15.75" customHeight="1">
      <c r="A46" s="3">
        <v>42.0</v>
      </c>
      <c r="B46" s="4" t="s">
        <v>53</v>
      </c>
      <c r="C46" s="3" t="s">
        <v>25</v>
      </c>
      <c r="D46" s="3">
        <v>0.0</v>
      </c>
      <c r="E46" s="3">
        <v>1.0</v>
      </c>
    </row>
    <row r="47" ht="15.75" customHeight="1">
      <c r="A47" s="3">
        <v>43.0</v>
      </c>
      <c r="B47" s="4" t="s">
        <v>54</v>
      </c>
      <c r="C47" s="3" t="s">
        <v>38</v>
      </c>
      <c r="D47" s="3">
        <v>1.0</v>
      </c>
      <c r="E47" s="3">
        <v>17.0</v>
      </c>
    </row>
    <row r="48" ht="15.75" customHeight="1">
      <c r="A48" s="3">
        <v>44.0</v>
      </c>
      <c r="B48" s="4" t="s">
        <v>55</v>
      </c>
      <c r="C48" s="9" t="s">
        <v>38</v>
      </c>
      <c r="D48" s="3">
        <v>0.0</v>
      </c>
      <c r="E48" s="3">
        <v>4.0</v>
      </c>
    </row>
    <row r="49" ht="15.75" customHeight="1">
      <c r="A49" s="3">
        <v>45.0</v>
      </c>
      <c r="B49" s="7" t="s">
        <v>56</v>
      </c>
      <c r="C49" s="7" t="s">
        <v>40</v>
      </c>
      <c r="D49" s="7" t="str">
        <f t="shared" ref="D49:E49" si="3">SUM(D42:D48)</f>
        <v>4</v>
      </c>
      <c r="E49" s="7" t="str">
        <f t="shared" si="3"/>
        <v>45</v>
      </c>
    </row>
    <row r="50" ht="15.75" customHeight="1">
      <c r="A50" s="5"/>
      <c r="B50" s="6" t="s">
        <v>57</v>
      </c>
      <c r="C50" s="5"/>
      <c r="D50" s="8"/>
      <c r="E50" s="8"/>
    </row>
    <row r="51" ht="15.75" customHeight="1">
      <c r="A51" s="3">
        <v>46.0</v>
      </c>
      <c r="B51" s="4" t="s">
        <v>58</v>
      </c>
      <c r="C51" s="3" t="s">
        <v>38</v>
      </c>
      <c r="D51" s="3">
        <v>0.0</v>
      </c>
      <c r="E51" s="3">
        <v>27.0</v>
      </c>
    </row>
    <row r="52" ht="15.75" customHeight="1">
      <c r="A52" s="3">
        <v>47.0</v>
      </c>
      <c r="B52" s="4" t="s">
        <v>59</v>
      </c>
      <c r="C52" s="3" t="s">
        <v>38</v>
      </c>
      <c r="D52" s="3">
        <v>0.0</v>
      </c>
      <c r="E52" s="3">
        <v>12.0</v>
      </c>
    </row>
    <row r="53" ht="15.75" customHeight="1">
      <c r="A53" s="3">
        <v>48.0</v>
      </c>
      <c r="B53" s="4" t="s">
        <v>60</v>
      </c>
      <c r="C53" s="9" t="s">
        <v>38</v>
      </c>
      <c r="D53" s="3">
        <v>1.0</v>
      </c>
      <c r="E53" s="3">
        <v>4.0</v>
      </c>
    </row>
    <row r="54" ht="15.75" customHeight="1">
      <c r="A54" s="3">
        <v>49.0</v>
      </c>
      <c r="B54" s="4" t="s">
        <v>61</v>
      </c>
      <c r="C54" s="3" t="s">
        <v>25</v>
      </c>
      <c r="D54" s="3">
        <v>0.0</v>
      </c>
      <c r="E54" s="3">
        <v>2.0</v>
      </c>
    </row>
    <row r="55" ht="15.75" customHeight="1">
      <c r="A55" s="3">
        <v>50.0</v>
      </c>
      <c r="B55" s="4" t="s">
        <v>62</v>
      </c>
      <c r="C55" s="3" t="s">
        <v>36</v>
      </c>
      <c r="D55" s="3">
        <v>0.0</v>
      </c>
      <c r="E55" s="3">
        <v>1.0</v>
      </c>
    </row>
    <row r="56" ht="15.75" customHeight="1">
      <c r="A56" s="3">
        <v>51.0</v>
      </c>
      <c r="B56" s="7" t="s">
        <v>63</v>
      </c>
      <c r="C56" s="7" t="s">
        <v>40</v>
      </c>
      <c r="D56" s="7" t="str">
        <f t="shared" ref="D56:E56" si="4">SUM(D51:D55)</f>
        <v>1</v>
      </c>
      <c r="E56" s="7" t="str">
        <f t="shared" si="4"/>
        <v>46</v>
      </c>
    </row>
    <row r="57" ht="15.75" customHeight="1">
      <c r="A57" s="5"/>
      <c r="B57" s="6" t="s">
        <v>64</v>
      </c>
      <c r="C57" s="5"/>
      <c r="D57" s="8"/>
      <c r="E57" s="8"/>
    </row>
    <row r="58" ht="15.75" customHeight="1">
      <c r="A58" s="3">
        <v>52.0</v>
      </c>
      <c r="B58" s="4" t="s">
        <v>65</v>
      </c>
      <c r="C58" s="3" t="s">
        <v>36</v>
      </c>
      <c r="D58" s="3">
        <v>1.0</v>
      </c>
      <c r="E58" s="3">
        <v>4.0</v>
      </c>
    </row>
    <row r="59" ht="15.75" customHeight="1">
      <c r="A59" s="3">
        <v>53.0</v>
      </c>
      <c r="B59" s="4" t="s">
        <v>66</v>
      </c>
      <c r="C59" s="3" t="s">
        <v>36</v>
      </c>
      <c r="D59" s="3">
        <v>1.0</v>
      </c>
      <c r="E59" s="3">
        <v>5.0</v>
      </c>
    </row>
    <row r="60" ht="15.75" customHeight="1">
      <c r="A60" s="3">
        <v>54.0</v>
      </c>
      <c r="B60" s="4" t="s">
        <v>67</v>
      </c>
      <c r="C60" s="3" t="s">
        <v>36</v>
      </c>
      <c r="D60" s="3">
        <v>0.0</v>
      </c>
      <c r="E60" s="3">
        <v>4.0</v>
      </c>
    </row>
    <row r="61" ht="15.75" customHeight="1">
      <c r="A61" s="3">
        <v>55.0</v>
      </c>
      <c r="B61" s="4" t="s">
        <v>68</v>
      </c>
      <c r="C61" s="3" t="s">
        <v>36</v>
      </c>
      <c r="D61" s="3">
        <v>0.0</v>
      </c>
      <c r="E61" s="3">
        <v>1.0</v>
      </c>
    </row>
    <row r="62" ht="15.75" customHeight="1">
      <c r="A62" s="3"/>
      <c r="B62" s="10" t="s">
        <v>69</v>
      </c>
      <c r="C62" s="3" t="s">
        <v>36</v>
      </c>
      <c r="D62" s="3">
        <v>1.0</v>
      </c>
      <c r="E62" s="3">
        <v>2.0</v>
      </c>
    </row>
    <row r="63" ht="15.75" customHeight="1">
      <c r="A63" s="3"/>
      <c r="B63" s="10" t="s">
        <v>70</v>
      </c>
      <c r="C63" s="3" t="s">
        <v>36</v>
      </c>
      <c r="D63" s="3">
        <v>1.0</v>
      </c>
      <c r="E63" s="3">
        <v>2.0</v>
      </c>
    </row>
    <row r="64" ht="15.75" customHeight="1">
      <c r="A64" s="3"/>
      <c r="B64" s="10" t="s">
        <v>71</v>
      </c>
      <c r="C64" s="3" t="s">
        <v>36</v>
      </c>
      <c r="D64" s="3">
        <v>1.0</v>
      </c>
      <c r="E64" s="3">
        <v>2.0</v>
      </c>
    </row>
    <row r="65" ht="15.75" customHeight="1">
      <c r="A65" s="3"/>
      <c r="B65" s="10" t="s">
        <v>72</v>
      </c>
      <c r="C65" s="3" t="s">
        <v>36</v>
      </c>
      <c r="D65" s="3">
        <v>1.0</v>
      </c>
      <c r="E65" s="3">
        <v>2.0</v>
      </c>
    </row>
    <row r="66" ht="15.75" customHeight="1">
      <c r="A66" s="3"/>
      <c r="B66" s="10" t="s">
        <v>73</v>
      </c>
      <c r="C66" s="3" t="s">
        <v>36</v>
      </c>
      <c r="D66" s="3">
        <v>1.0</v>
      </c>
      <c r="E66" s="3">
        <v>2.0</v>
      </c>
    </row>
    <row r="67" ht="15.75" customHeight="1">
      <c r="A67" s="3"/>
      <c r="B67" s="10" t="s">
        <v>74</v>
      </c>
      <c r="C67" s="3" t="s">
        <v>36</v>
      </c>
      <c r="D67" s="3">
        <v>1.0</v>
      </c>
      <c r="E67" s="3">
        <v>2.0</v>
      </c>
    </row>
    <row r="68" ht="15.75" customHeight="1">
      <c r="A68" s="3"/>
      <c r="B68" s="10" t="s">
        <v>75</v>
      </c>
      <c r="C68" s="3" t="s">
        <v>36</v>
      </c>
      <c r="D68" s="3">
        <v>1.0</v>
      </c>
      <c r="E68" s="3">
        <v>2.0</v>
      </c>
    </row>
    <row r="69" ht="15.75" customHeight="1">
      <c r="A69" s="3">
        <v>56.0</v>
      </c>
      <c r="B69" s="4" t="s">
        <v>76</v>
      </c>
      <c r="C69" s="3" t="s">
        <v>36</v>
      </c>
      <c r="D69" s="3">
        <v>0.0</v>
      </c>
      <c r="E69" s="3">
        <v>1.0</v>
      </c>
    </row>
    <row r="70" ht="15.75" customHeight="1">
      <c r="A70" s="3">
        <v>57.0</v>
      </c>
      <c r="B70" s="4" t="s">
        <v>77</v>
      </c>
      <c r="C70" s="3" t="s">
        <v>36</v>
      </c>
      <c r="D70" s="3">
        <v>0.0</v>
      </c>
      <c r="E70" s="3">
        <v>2.0</v>
      </c>
    </row>
    <row r="71" ht="15.75" customHeight="1">
      <c r="A71" s="3">
        <v>58.0</v>
      </c>
      <c r="B71" s="4" t="s">
        <v>78</v>
      </c>
      <c r="C71" s="3" t="s">
        <v>36</v>
      </c>
      <c r="D71" s="3">
        <v>0.0</v>
      </c>
      <c r="E71" s="3">
        <v>2.0</v>
      </c>
    </row>
    <row r="72" ht="15.75" customHeight="1">
      <c r="A72" s="3">
        <v>59.0</v>
      </c>
      <c r="B72" s="4" t="s">
        <v>79</v>
      </c>
      <c r="C72" s="3" t="s">
        <v>36</v>
      </c>
      <c r="D72" s="3">
        <v>0.0</v>
      </c>
      <c r="E72" s="3">
        <v>2.0</v>
      </c>
    </row>
    <row r="73" ht="15.75" customHeight="1">
      <c r="A73" s="3">
        <v>60.0</v>
      </c>
      <c r="B73" s="4" t="s">
        <v>80</v>
      </c>
      <c r="C73" s="3" t="s">
        <v>38</v>
      </c>
      <c r="D73" s="3">
        <v>-5.5</v>
      </c>
      <c r="E73" s="3">
        <v>0.0</v>
      </c>
    </row>
    <row r="74" ht="15.75" customHeight="1">
      <c r="A74" s="3">
        <v>61.0</v>
      </c>
      <c r="B74" s="7" t="s">
        <v>81</v>
      </c>
      <c r="C74" s="7" t="s">
        <v>40</v>
      </c>
      <c r="D74" s="7" t="str">
        <f t="shared" ref="D74:E74" si="5">SUM(D58:D73)</f>
        <v>3.5</v>
      </c>
      <c r="E74" s="7" t="str">
        <f t="shared" si="5"/>
        <v>35</v>
      </c>
    </row>
    <row r="75" ht="15.75" customHeight="1">
      <c r="A75" s="5"/>
      <c r="B75" s="6" t="s">
        <v>82</v>
      </c>
      <c r="C75" s="5"/>
      <c r="D75" s="8"/>
      <c r="E75" s="8"/>
    </row>
    <row r="76" ht="15.75" customHeight="1">
      <c r="A76" s="3">
        <v>62.0</v>
      </c>
      <c r="B76" s="4" t="s">
        <v>83</v>
      </c>
      <c r="C76" s="3" t="s">
        <v>25</v>
      </c>
      <c r="D76" s="3">
        <v>0.0</v>
      </c>
      <c r="E76" s="3">
        <v>1.0</v>
      </c>
    </row>
    <row r="77" ht="15.75" customHeight="1">
      <c r="A77" s="3">
        <v>63.0</v>
      </c>
      <c r="B77" s="4" t="s">
        <v>84</v>
      </c>
      <c r="C77" s="3" t="s">
        <v>38</v>
      </c>
      <c r="D77" s="3">
        <v>0.0</v>
      </c>
      <c r="E77" s="3">
        <v>8.0</v>
      </c>
    </row>
    <row r="78" ht="15.75" customHeight="1">
      <c r="A78" s="3">
        <v>64.0</v>
      </c>
      <c r="B78" s="4" t="s">
        <v>85</v>
      </c>
      <c r="C78" s="3" t="s">
        <v>25</v>
      </c>
      <c r="D78" s="3">
        <v>0.0</v>
      </c>
      <c r="E78" s="3">
        <v>2.0</v>
      </c>
    </row>
    <row r="79" ht="15.75" customHeight="1">
      <c r="A79" s="3">
        <v>65.0</v>
      </c>
      <c r="B79" s="4" t="s">
        <v>86</v>
      </c>
      <c r="C79" s="3" t="s">
        <v>25</v>
      </c>
      <c r="D79" s="3">
        <v>0.0</v>
      </c>
      <c r="E79" s="3">
        <v>2.0</v>
      </c>
    </row>
    <row r="80" ht="15.75" customHeight="1">
      <c r="A80" s="3">
        <v>66.0</v>
      </c>
      <c r="B80" s="4" t="s">
        <v>87</v>
      </c>
      <c r="C80" s="3" t="s">
        <v>25</v>
      </c>
      <c r="D80" s="3">
        <v>0.0</v>
      </c>
      <c r="E80" s="3">
        <v>2.0</v>
      </c>
    </row>
    <row r="81" ht="15.75" customHeight="1">
      <c r="A81" s="3">
        <v>67.0</v>
      </c>
      <c r="B81" s="4" t="s">
        <v>88</v>
      </c>
      <c r="C81" s="3" t="s">
        <v>25</v>
      </c>
      <c r="D81" s="3">
        <v>1.0</v>
      </c>
      <c r="E81" s="3">
        <v>2.0</v>
      </c>
    </row>
    <row r="82" ht="15.75" customHeight="1">
      <c r="A82" s="3">
        <v>68.0</v>
      </c>
      <c r="B82" s="4" t="s">
        <v>89</v>
      </c>
      <c r="C82" s="3" t="s">
        <v>25</v>
      </c>
      <c r="D82" s="3">
        <v>0.0</v>
      </c>
      <c r="E82" s="3">
        <v>1.0</v>
      </c>
    </row>
    <row r="83" ht="15.75" customHeight="1">
      <c r="A83" s="3">
        <v>69.0</v>
      </c>
      <c r="B83" s="4" t="s">
        <v>90</v>
      </c>
      <c r="C83" s="3" t="s">
        <v>25</v>
      </c>
      <c r="D83" s="3">
        <v>0.0</v>
      </c>
      <c r="E83" s="3">
        <v>1.0</v>
      </c>
    </row>
    <row r="84" ht="15.75" customHeight="1">
      <c r="A84" s="3">
        <v>70.0</v>
      </c>
      <c r="B84" s="4" t="s">
        <v>91</v>
      </c>
      <c r="C84" s="3" t="s">
        <v>25</v>
      </c>
      <c r="D84" s="3">
        <v>0.0</v>
      </c>
      <c r="E84" s="3">
        <v>1.0</v>
      </c>
    </row>
    <row r="85" ht="15.75" customHeight="1">
      <c r="A85" s="3">
        <v>71.0</v>
      </c>
      <c r="B85" s="7" t="s">
        <v>92</v>
      </c>
      <c r="C85" s="7" t="s">
        <v>40</v>
      </c>
      <c r="D85" s="7"/>
      <c r="E85" s="7"/>
    </row>
    <row r="86" ht="15.75" customHeight="1">
      <c r="A86" s="5"/>
      <c r="B86" s="6" t="s">
        <v>93</v>
      </c>
      <c r="C86" s="5"/>
      <c r="D86" s="8"/>
      <c r="E86" s="8"/>
    </row>
    <row r="87" ht="15.75" customHeight="1">
      <c r="A87" s="3">
        <v>72.0</v>
      </c>
      <c r="B87" s="4" t="s">
        <v>94</v>
      </c>
      <c r="C87" s="3" t="s">
        <v>36</v>
      </c>
      <c r="D87" s="3">
        <v>1.0</v>
      </c>
      <c r="E87" s="3">
        <v>3.0</v>
      </c>
    </row>
    <row r="88" ht="15.75" customHeight="1">
      <c r="A88" s="3">
        <v>73.0</v>
      </c>
      <c r="B88" s="4" t="s">
        <v>95</v>
      </c>
      <c r="C88" s="3" t="s">
        <v>36</v>
      </c>
      <c r="D88" s="3">
        <v>1.0</v>
      </c>
      <c r="E88" s="3">
        <v>4.0</v>
      </c>
    </row>
    <row r="89" ht="15.75" customHeight="1">
      <c r="A89" s="3">
        <v>74.0</v>
      </c>
      <c r="B89" s="4" t="s">
        <v>96</v>
      </c>
      <c r="C89" s="3" t="s">
        <v>36</v>
      </c>
      <c r="D89" s="3">
        <v>0.0</v>
      </c>
      <c r="E89" s="3">
        <v>3.0</v>
      </c>
    </row>
    <row r="90" ht="15.75" customHeight="1">
      <c r="A90" s="3">
        <v>75.0</v>
      </c>
      <c r="B90" s="4" t="s">
        <v>97</v>
      </c>
      <c r="C90" s="3" t="s">
        <v>36</v>
      </c>
      <c r="D90" s="3">
        <v>0.0</v>
      </c>
      <c r="E90" s="3">
        <v>4.0</v>
      </c>
    </row>
    <row r="91" ht="15.75" customHeight="1">
      <c r="A91" s="3">
        <v>76.0</v>
      </c>
      <c r="B91" s="4" t="s">
        <v>98</v>
      </c>
      <c r="C91" s="3" t="s">
        <v>36</v>
      </c>
      <c r="D91" s="3">
        <v>0.0</v>
      </c>
      <c r="E91" s="3">
        <v>3.0</v>
      </c>
    </row>
    <row r="92" ht="15.75" customHeight="1">
      <c r="A92" s="3">
        <v>77.0</v>
      </c>
      <c r="B92" s="4" t="s">
        <v>99</v>
      </c>
      <c r="C92" s="3" t="s">
        <v>36</v>
      </c>
      <c r="D92" s="3">
        <v>0.0</v>
      </c>
      <c r="E92" s="3">
        <v>4.0</v>
      </c>
    </row>
    <row r="93" ht="15.75" customHeight="1">
      <c r="A93" s="3">
        <v>78.0</v>
      </c>
      <c r="B93" s="4" t="s">
        <v>100</v>
      </c>
      <c r="C93" s="3" t="s">
        <v>36</v>
      </c>
      <c r="D93" s="3">
        <v>0.0</v>
      </c>
      <c r="E93" s="3">
        <v>3.0</v>
      </c>
    </row>
    <row r="94" ht="15.75" customHeight="1">
      <c r="A94" s="3">
        <v>79.0</v>
      </c>
      <c r="B94" s="4" t="s">
        <v>101</v>
      </c>
      <c r="C94" s="3" t="s">
        <v>36</v>
      </c>
      <c r="D94" s="3">
        <v>0.0</v>
      </c>
      <c r="E94" s="3">
        <v>3.0</v>
      </c>
    </row>
    <row r="95" ht="15.75" customHeight="1">
      <c r="A95" s="3">
        <v>80.0</v>
      </c>
      <c r="B95" s="7" t="s">
        <v>102</v>
      </c>
      <c r="C95" s="7" t="s">
        <v>40</v>
      </c>
      <c r="D95" s="7" t="str">
        <f t="shared" ref="D95:E95" si="6">SUM(D87:D94)</f>
        <v>2</v>
      </c>
      <c r="E95" s="7" t="str">
        <f t="shared" si="6"/>
        <v>27</v>
      </c>
    </row>
    <row r="96" ht="15.75" customHeight="1">
      <c r="A96" s="5"/>
      <c r="B96" s="6" t="s">
        <v>103</v>
      </c>
      <c r="C96" s="5"/>
      <c r="D96" s="8"/>
      <c r="E96" s="8"/>
    </row>
    <row r="97" ht="15.75" customHeight="1">
      <c r="A97" s="3">
        <v>81.0</v>
      </c>
      <c r="B97" s="4" t="s">
        <v>104</v>
      </c>
      <c r="C97" s="3" t="s">
        <v>25</v>
      </c>
      <c r="D97" s="3">
        <v>0.0</v>
      </c>
      <c r="E97" s="3">
        <v>2.0</v>
      </c>
    </row>
    <row r="98" ht="15.75" customHeight="1">
      <c r="A98" s="3">
        <v>82.0</v>
      </c>
      <c r="B98" s="4" t="s">
        <v>105</v>
      </c>
      <c r="C98" s="3" t="s">
        <v>25</v>
      </c>
      <c r="D98" s="3">
        <v>0.0</v>
      </c>
      <c r="E98" s="3">
        <v>2.0</v>
      </c>
    </row>
    <row r="99" ht="15.75" customHeight="1">
      <c r="A99" s="3">
        <v>83.0</v>
      </c>
      <c r="B99" s="4" t="s">
        <v>106</v>
      </c>
      <c r="C99" s="3" t="s">
        <v>25</v>
      </c>
      <c r="D99" s="3">
        <v>0.0</v>
      </c>
      <c r="E99" s="3">
        <v>2.0</v>
      </c>
    </row>
    <row r="100" ht="15.75" customHeight="1">
      <c r="A100" s="3">
        <v>84.0</v>
      </c>
      <c r="B100" s="4" t="s">
        <v>107</v>
      </c>
      <c r="C100" s="3" t="s">
        <v>25</v>
      </c>
      <c r="D100" s="3">
        <v>0.0</v>
      </c>
      <c r="E100" s="3">
        <v>2.0</v>
      </c>
    </row>
    <row r="101" ht="15.75" customHeight="1">
      <c r="A101" s="3">
        <v>85.0</v>
      </c>
      <c r="B101" s="4" t="s">
        <v>108</v>
      </c>
      <c r="C101" s="3" t="s">
        <v>25</v>
      </c>
      <c r="D101" s="3">
        <v>0.0</v>
      </c>
      <c r="E101" s="3">
        <v>2.0</v>
      </c>
    </row>
    <row r="102" ht="15.75" customHeight="1">
      <c r="A102" s="3">
        <v>86.0</v>
      </c>
      <c r="B102" s="4" t="s">
        <v>109</v>
      </c>
      <c r="C102" s="3" t="s">
        <v>25</v>
      </c>
      <c r="D102" s="3">
        <v>-1.0</v>
      </c>
      <c r="E102" s="3">
        <v>1.0</v>
      </c>
    </row>
    <row r="103" ht="15.75" customHeight="1">
      <c r="A103" s="3">
        <v>87.0</v>
      </c>
      <c r="B103" s="7" t="s">
        <v>110</v>
      </c>
      <c r="C103" s="7" t="s">
        <v>40</v>
      </c>
      <c r="D103" s="7" t="str">
        <f t="shared" ref="D103:E103" si="7">SUM(D97:D102)</f>
        <v>-1</v>
      </c>
      <c r="E103" s="7" t="str">
        <f t="shared" si="7"/>
        <v>11</v>
      </c>
    </row>
    <row r="104" ht="15.75" customHeight="1">
      <c r="A104" s="5"/>
      <c r="B104" s="6" t="s">
        <v>111</v>
      </c>
      <c r="C104" s="5"/>
      <c r="D104" s="8"/>
      <c r="E104" s="8"/>
    </row>
    <row r="105" ht="15.75" customHeight="1">
      <c r="A105" s="3">
        <v>88.0</v>
      </c>
      <c r="B105" s="4" t="s">
        <v>112</v>
      </c>
      <c r="C105" s="3" t="s">
        <v>36</v>
      </c>
      <c r="D105" s="3">
        <v>0.0</v>
      </c>
      <c r="E105" s="3">
        <v>3.0</v>
      </c>
    </row>
    <row r="106" ht="15.75" customHeight="1">
      <c r="A106" s="3">
        <v>89.0</v>
      </c>
      <c r="B106" s="4" t="s">
        <v>113</v>
      </c>
      <c r="C106" s="3" t="s">
        <v>25</v>
      </c>
      <c r="D106" s="3">
        <v>0.0</v>
      </c>
      <c r="E106" s="3">
        <v>2.0</v>
      </c>
    </row>
    <row r="107" ht="15.75" customHeight="1">
      <c r="A107" s="3">
        <v>90.0</v>
      </c>
      <c r="B107" s="4" t="s">
        <v>114</v>
      </c>
      <c r="C107" s="3" t="s">
        <v>36</v>
      </c>
      <c r="D107" s="3">
        <v>0.0</v>
      </c>
      <c r="E107" s="3">
        <v>3.0</v>
      </c>
    </row>
    <row r="108" ht="15.75" customHeight="1">
      <c r="A108" s="3">
        <v>91.0</v>
      </c>
      <c r="B108" s="4" t="s">
        <v>115</v>
      </c>
      <c r="C108" s="3" t="s">
        <v>36</v>
      </c>
      <c r="D108" s="3">
        <v>0.0</v>
      </c>
      <c r="E108" s="3">
        <v>4.0</v>
      </c>
    </row>
    <row r="109" ht="15.75" customHeight="1">
      <c r="A109" s="3">
        <v>92.0</v>
      </c>
      <c r="B109" s="4" t="s">
        <v>116</v>
      </c>
      <c r="C109" s="3" t="s">
        <v>25</v>
      </c>
      <c r="D109" s="3">
        <v>0.0</v>
      </c>
      <c r="E109" s="3">
        <v>1.0</v>
      </c>
    </row>
    <row r="110" ht="15.75" customHeight="1">
      <c r="A110" s="3">
        <v>93.0</v>
      </c>
      <c r="B110" s="4" t="s">
        <v>117</v>
      </c>
      <c r="C110" s="3" t="s">
        <v>25</v>
      </c>
      <c r="D110" s="3">
        <v>0.0</v>
      </c>
      <c r="E110" s="3">
        <v>2.0</v>
      </c>
    </row>
    <row r="111" ht="15.75" customHeight="1">
      <c r="A111" s="3">
        <v>94.0</v>
      </c>
      <c r="B111" s="4" t="s">
        <v>118</v>
      </c>
      <c r="C111" s="3" t="s">
        <v>25</v>
      </c>
      <c r="D111" s="3">
        <v>0.0</v>
      </c>
      <c r="E111" s="3">
        <v>2.0</v>
      </c>
    </row>
    <row r="112" ht="15.75" customHeight="1">
      <c r="A112" s="3">
        <v>95.0</v>
      </c>
      <c r="B112" s="4" t="s">
        <v>119</v>
      </c>
      <c r="C112" s="3" t="s">
        <v>25</v>
      </c>
      <c r="D112" s="3">
        <v>0.0</v>
      </c>
      <c r="E112" s="3">
        <v>2.0</v>
      </c>
    </row>
    <row r="113" ht="15.75" customHeight="1">
      <c r="A113" s="3">
        <v>96.0</v>
      </c>
      <c r="B113" s="7" t="s">
        <v>120</v>
      </c>
      <c r="C113" s="7" t="s">
        <v>40</v>
      </c>
      <c r="D113" s="7" t="str">
        <f t="shared" ref="D113:E113" si="8">SUM(D105:D112)</f>
        <v>0</v>
      </c>
      <c r="E113" s="7" t="str">
        <f t="shared" si="8"/>
        <v>19</v>
      </c>
    </row>
    <row r="114" ht="15.75" customHeight="1">
      <c r="A114" s="5"/>
      <c r="B114" s="6" t="s">
        <v>121</v>
      </c>
      <c r="C114" s="5"/>
      <c r="D114" s="8"/>
      <c r="E114" s="8"/>
    </row>
    <row r="115" ht="15.75" customHeight="1">
      <c r="A115" s="3">
        <v>97.0</v>
      </c>
      <c r="B115" s="4" t="s">
        <v>122</v>
      </c>
      <c r="C115" s="3" t="s">
        <v>25</v>
      </c>
      <c r="D115" s="3">
        <v>1.0</v>
      </c>
      <c r="E115" s="3">
        <v>2.0</v>
      </c>
    </row>
    <row r="116" ht="15.75" customHeight="1">
      <c r="A116" s="3">
        <v>98.0</v>
      </c>
      <c r="B116" s="4" t="s">
        <v>123</v>
      </c>
      <c r="C116" s="3" t="s">
        <v>25</v>
      </c>
      <c r="D116" s="3">
        <v>0.0</v>
      </c>
      <c r="E116" s="3">
        <v>2.0</v>
      </c>
    </row>
    <row r="117" ht="15.75" customHeight="1">
      <c r="A117" s="3">
        <v>99.0</v>
      </c>
      <c r="B117" s="4" t="s">
        <v>124</v>
      </c>
      <c r="C117" s="3" t="s">
        <v>36</v>
      </c>
      <c r="D117" s="3">
        <v>0.0</v>
      </c>
      <c r="E117" s="3">
        <v>2.0</v>
      </c>
    </row>
    <row r="118" ht="15.75" customHeight="1">
      <c r="A118" s="3">
        <v>100.0</v>
      </c>
      <c r="B118" s="4" t="s">
        <v>125</v>
      </c>
      <c r="C118" s="3" t="s">
        <v>25</v>
      </c>
      <c r="D118" s="3">
        <v>0.0</v>
      </c>
      <c r="E118" s="3">
        <v>3.0</v>
      </c>
    </row>
    <row r="119" ht="15.75" customHeight="1">
      <c r="A119" s="3">
        <v>101.0</v>
      </c>
      <c r="B119" s="4" t="s">
        <v>126</v>
      </c>
      <c r="C119" s="3" t="s">
        <v>36</v>
      </c>
      <c r="D119" s="3">
        <v>0.0</v>
      </c>
      <c r="E119" s="3">
        <v>4.0</v>
      </c>
    </row>
    <row r="120" ht="15.75" customHeight="1">
      <c r="A120" s="3">
        <v>102.0</v>
      </c>
      <c r="B120" s="4" t="s">
        <v>127</v>
      </c>
      <c r="C120" s="3" t="s">
        <v>38</v>
      </c>
      <c r="D120" s="3">
        <v>1.0</v>
      </c>
      <c r="E120" s="3">
        <v>6.0</v>
      </c>
    </row>
    <row r="121" ht="15.75" customHeight="1">
      <c r="A121" s="3">
        <v>103.0</v>
      </c>
      <c r="B121" s="7" t="s">
        <v>128</v>
      </c>
      <c r="C121" s="7"/>
      <c r="D121" s="7" t="str">
        <f t="shared" ref="D121:E121" si="9">SUM(D115:D120)</f>
        <v>2</v>
      </c>
      <c r="E121" s="7" t="str">
        <f t="shared" si="9"/>
        <v>19</v>
      </c>
    </row>
    <row r="122" ht="15.75" customHeight="1">
      <c r="A122" s="5"/>
      <c r="B122" s="6" t="s">
        <v>129</v>
      </c>
      <c r="C122" s="5"/>
      <c r="D122" s="8"/>
      <c r="E122" s="8"/>
    </row>
    <row r="123" ht="15.75" customHeight="1">
      <c r="A123" s="3">
        <v>104.0</v>
      </c>
      <c r="B123" s="4" t="s">
        <v>130</v>
      </c>
      <c r="C123" s="3" t="s">
        <v>36</v>
      </c>
      <c r="D123" s="3">
        <v>1.0</v>
      </c>
      <c r="E123" s="3">
        <v>2.0</v>
      </c>
    </row>
    <row r="124" ht="15.75" customHeight="1">
      <c r="A124" s="3">
        <v>105.0</v>
      </c>
      <c r="B124" s="4" t="s">
        <v>131</v>
      </c>
      <c r="C124" s="3" t="s">
        <v>25</v>
      </c>
      <c r="D124" s="3">
        <v>1.0</v>
      </c>
      <c r="E124" s="3">
        <v>2.0</v>
      </c>
    </row>
    <row r="125" ht="15.75" customHeight="1">
      <c r="A125" s="3">
        <v>106.0</v>
      </c>
      <c r="B125" s="4" t="s">
        <v>132</v>
      </c>
      <c r="C125" s="3" t="s">
        <v>36</v>
      </c>
      <c r="D125" s="3">
        <v>0.0</v>
      </c>
      <c r="E125" s="3">
        <v>4.0</v>
      </c>
    </row>
    <row r="126" ht="15.75" customHeight="1">
      <c r="A126" s="3">
        <v>107.0</v>
      </c>
      <c r="B126" s="4" t="s">
        <v>133</v>
      </c>
      <c r="C126" s="3" t="s">
        <v>25</v>
      </c>
      <c r="D126" s="3">
        <v>1.0</v>
      </c>
      <c r="E126" s="3">
        <v>2.0</v>
      </c>
    </row>
    <row r="127" ht="15.75" customHeight="1">
      <c r="A127" s="3">
        <v>108.0</v>
      </c>
      <c r="B127" s="4" t="s">
        <v>134</v>
      </c>
      <c r="C127" s="3" t="s">
        <v>25</v>
      </c>
      <c r="D127" s="3">
        <v>1.0</v>
      </c>
      <c r="E127" s="3">
        <v>2.0</v>
      </c>
    </row>
    <row r="128" ht="15.75" customHeight="1">
      <c r="A128" s="3">
        <v>109.0</v>
      </c>
      <c r="B128" s="4" t="s">
        <v>135</v>
      </c>
      <c r="C128" s="3" t="s">
        <v>36</v>
      </c>
      <c r="D128" s="3">
        <v>0.0</v>
      </c>
      <c r="E128" s="3">
        <v>2.0</v>
      </c>
    </row>
    <row r="129" ht="15.75" customHeight="1">
      <c r="A129" s="3">
        <v>110.0</v>
      </c>
      <c r="B129" s="4" t="s">
        <v>136</v>
      </c>
      <c r="C129" s="3" t="s">
        <v>36</v>
      </c>
      <c r="D129" s="3">
        <v>0.0</v>
      </c>
      <c r="E129" s="3">
        <v>5.0</v>
      </c>
    </row>
    <row r="130" ht="15.75" customHeight="1">
      <c r="A130" s="3">
        <v>111.0</v>
      </c>
      <c r="B130" s="4" t="s">
        <v>137</v>
      </c>
      <c r="C130" s="3" t="s">
        <v>25</v>
      </c>
      <c r="D130" s="3">
        <v>0.0</v>
      </c>
      <c r="E130" s="3">
        <v>2.0</v>
      </c>
    </row>
    <row r="131" ht="15.75" customHeight="1">
      <c r="A131" s="3">
        <v>112.0</v>
      </c>
      <c r="B131" s="4" t="s">
        <v>138</v>
      </c>
      <c r="C131" s="3" t="s">
        <v>38</v>
      </c>
      <c r="D131" s="3">
        <v>0.0</v>
      </c>
      <c r="E131" s="3">
        <v>4.0</v>
      </c>
    </row>
    <row r="132" ht="15.75" customHeight="1">
      <c r="A132" s="3">
        <v>113.0</v>
      </c>
      <c r="B132" s="4" t="s">
        <v>139</v>
      </c>
      <c r="C132" s="3" t="s">
        <v>25</v>
      </c>
      <c r="D132" s="3">
        <v>0.0</v>
      </c>
      <c r="E132" s="3">
        <v>2.0</v>
      </c>
    </row>
    <row r="133" ht="15.75" customHeight="1">
      <c r="A133" s="3">
        <v>114.0</v>
      </c>
      <c r="B133" s="4" t="s">
        <v>140</v>
      </c>
      <c r="C133" s="3" t="s">
        <v>25</v>
      </c>
      <c r="D133" s="3">
        <v>0.0</v>
      </c>
      <c r="E133" s="3">
        <v>2.0</v>
      </c>
    </row>
    <row r="134" ht="15.75" customHeight="1">
      <c r="A134" s="3">
        <v>115.0</v>
      </c>
      <c r="B134" s="4" t="s">
        <v>141</v>
      </c>
      <c r="C134" s="3" t="s">
        <v>25</v>
      </c>
      <c r="D134" s="3">
        <v>0.0</v>
      </c>
      <c r="E134" s="3">
        <v>2.0</v>
      </c>
    </row>
    <row r="135" ht="15.75" customHeight="1">
      <c r="A135" s="3">
        <v>116.0</v>
      </c>
      <c r="B135" s="4" t="s">
        <v>142</v>
      </c>
      <c r="C135" s="3" t="s">
        <v>36</v>
      </c>
      <c r="D135" s="3">
        <v>0.0</v>
      </c>
      <c r="E135" s="3">
        <v>3.0</v>
      </c>
    </row>
    <row r="136" ht="15.75" customHeight="1">
      <c r="A136" s="3">
        <v>117.0</v>
      </c>
      <c r="B136" s="4" t="s">
        <v>143</v>
      </c>
      <c r="C136" s="3" t="s">
        <v>25</v>
      </c>
      <c r="D136" s="3">
        <v>1.0</v>
      </c>
      <c r="E136" s="3">
        <v>2.0</v>
      </c>
    </row>
    <row r="137" ht="15.75" customHeight="1">
      <c r="A137" s="3">
        <v>118.0</v>
      </c>
      <c r="B137" s="7" t="s">
        <v>144</v>
      </c>
      <c r="C137" s="7" t="s">
        <v>40</v>
      </c>
      <c r="D137" s="7" t="str">
        <f t="shared" ref="D137:E137" si="10">SUM(D123:D136)</f>
        <v>5</v>
      </c>
      <c r="E137" s="7" t="str">
        <f t="shared" si="10"/>
        <v>36</v>
      </c>
    </row>
    <row r="138" ht="15.75" customHeight="1">
      <c r="A138" s="5"/>
      <c r="B138" s="6" t="s">
        <v>145</v>
      </c>
      <c r="C138" s="5"/>
      <c r="D138" s="8"/>
      <c r="E138" s="8"/>
    </row>
    <row r="139" ht="15.75" customHeight="1">
      <c r="A139" s="3">
        <v>119.0</v>
      </c>
      <c r="B139" s="4" t="s">
        <v>146</v>
      </c>
      <c r="C139" s="3" t="s">
        <v>36</v>
      </c>
      <c r="D139" s="3">
        <v>0.0</v>
      </c>
      <c r="E139" s="3">
        <v>3.0</v>
      </c>
    </row>
    <row r="140" ht="15.75" customHeight="1">
      <c r="A140" s="3">
        <v>120.0</v>
      </c>
      <c r="B140" s="4" t="s">
        <v>147</v>
      </c>
      <c r="C140" s="3" t="s">
        <v>36</v>
      </c>
      <c r="D140" s="3">
        <v>0.0</v>
      </c>
      <c r="E140" s="3">
        <v>5.0</v>
      </c>
    </row>
    <row r="141" ht="15.75" customHeight="1">
      <c r="A141" s="3">
        <v>121.0</v>
      </c>
      <c r="B141" s="4" t="s">
        <v>148</v>
      </c>
      <c r="C141" s="3" t="s">
        <v>36</v>
      </c>
      <c r="D141" s="3">
        <v>1.0</v>
      </c>
      <c r="E141" s="3">
        <v>4.0</v>
      </c>
    </row>
    <row r="142" ht="15.75" customHeight="1">
      <c r="A142" s="3">
        <v>122.0</v>
      </c>
      <c r="B142" s="4" t="s">
        <v>149</v>
      </c>
      <c r="C142" s="3" t="s">
        <v>25</v>
      </c>
      <c r="D142" s="3">
        <v>0.0</v>
      </c>
      <c r="E142" s="3">
        <v>2.0</v>
      </c>
    </row>
    <row r="143" ht="15.75" customHeight="1">
      <c r="A143" s="3">
        <v>123.0</v>
      </c>
      <c r="B143" s="4" t="s">
        <v>150</v>
      </c>
      <c r="C143" s="3" t="s">
        <v>25</v>
      </c>
      <c r="D143" s="3">
        <v>1.0</v>
      </c>
      <c r="E143" s="3">
        <v>2.0</v>
      </c>
    </row>
    <row r="144" ht="15.75" customHeight="1">
      <c r="A144" s="3">
        <v>124.0</v>
      </c>
      <c r="B144" s="4" t="s">
        <v>151</v>
      </c>
      <c r="C144" s="3" t="s">
        <v>25</v>
      </c>
      <c r="D144" s="3">
        <v>1.0</v>
      </c>
      <c r="E144" s="3">
        <v>2.0</v>
      </c>
    </row>
    <row r="145" ht="15.75" customHeight="1">
      <c r="A145" s="3">
        <v>125.0</v>
      </c>
      <c r="B145" s="4" t="s">
        <v>152</v>
      </c>
      <c r="C145" s="3" t="s">
        <v>25</v>
      </c>
      <c r="D145" s="3">
        <v>1.0</v>
      </c>
      <c r="E145" s="3">
        <v>2.0</v>
      </c>
    </row>
    <row r="146" ht="15.75" customHeight="1">
      <c r="A146" s="3">
        <v>126.0</v>
      </c>
      <c r="B146" s="4" t="s">
        <v>153</v>
      </c>
      <c r="C146" s="3" t="s">
        <v>36</v>
      </c>
      <c r="D146" s="3">
        <v>0.0</v>
      </c>
      <c r="E146" s="3">
        <v>4.0</v>
      </c>
    </row>
    <row r="147" ht="15.75" customHeight="1">
      <c r="A147" s="3">
        <v>127.0</v>
      </c>
      <c r="B147" s="4" t="s">
        <v>154</v>
      </c>
      <c r="C147" s="3" t="s">
        <v>25</v>
      </c>
      <c r="D147" s="3">
        <v>0.0</v>
      </c>
      <c r="E147" s="3">
        <v>1.0</v>
      </c>
    </row>
    <row r="148" ht="15.75" customHeight="1">
      <c r="A148" s="3">
        <v>128.0</v>
      </c>
      <c r="B148" s="7" t="s">
        <v>155</v>
      </c>
      <c r="C148" s="7" t="s">
        <v>40</v>
      </c>
      <c r="D148" s="7" t="str">
        <f t="shared" ref="D148:E148" si="11">SUM(D139:D147)</f>
        <v>4</v>
      </c>
      <c r="E148" s="7" t="str">
        <f t="shared" si="11"/>
        <v>25</v>
      </c>
    </row>
    <row r="149" ht="15.75" customHeight="1">
      <c r="A149" s="5"/>
      <c r="B149" s="6" t="s">
        <v>156</v>
      </c>
      <c r="C149" s="5"/>
      <c r="D149" s="8"/>
      <c r="E149" s="8"/>
    </row>
    <row r="150" ht="15.75" customHeight="1">
      <c r="A150" s="3">
        <v>129.0</v>
      </c>
      <c r="B150" s="4" t="s">
        <v>157</v>
      </c>
      <c r="C150" s="3" t="s">
        <v>36</v>
      </c>
      <c r="D150" s="3">
        <v>0.0</v>
      </c>
      <c r="E150" s="3">
        <v>3.0</v>
      </c>
    </row>
    <row r="151" ht="15.75" customHeight="1">
      <c r="A151" s="3">
        <v>130.0</v>
      </c>
      <c r="B151" s="4" t="s">
        <v>158</v>
      </c>
      <c r="C151" s="3" t="s">
        <v>25</v>
      </c>
      <c r="D151" s="3">
        <v>0.0</v>
      </c>
      <c r="E151" s="3">
        <v>1.0</v>
      </c>
    </row>
    <row r="152" ht="15.75" customHeight="1">
      <c r="A152" s="3">
        <v>131.0</v>
      </c>
      <c r="B152" s="4" t="s">
        <v>159</v>
      </c>
      <c r="C152" s="3" t="s">
        <v>36</v>
      </c>
      <c r="D152" s="3">
        <v>0.0</v>
      </c>
      <c r="E152" s="3">
        <v>4.0</v>
      </c>
    </row>
    <row r="153" ht="15.75" customHeight="1">
      <c r="A153" s="3">
        <v>132.0</v>
      </c>
      <c r="B153" s="4" t="s">
        <v>160</v>
      </c>
      <c r="C153" s="3" t="s">
        <v>25</v>
      </c>
      <c r="D153" s="3">
        <v>0.0</v>
      </c>
      <c r="E153" s="3">
        <v>1.0</v>
      </c>
    </row>
    <row r="154" ht="15.75" customHeight="1">
      <c r="A154" s="3">
        <v>133.0</v>
      </c>
      <c r="B154" s="4" t="s">
        <v>161</v>
      </c>
      <c r="C154" s="3" t="s">
        <v>25</v>
      </c>
      <c r="D154" s="3">
        <v>0.0</v>
      </c>
      <c r="E154" s="3">
        <v>1.0</v>
      </c>
    </row>
    <row r="155" ht="15.75" customHeight="1">
      <c r="A155" s="3">
        <v>134.0</v>
      </c>
      <c r="B155" s="4" t="s">
        <v>162</v>
      </c>
      <c r="C155" s="3" t="s">
        <v>25</v>
      </c>
      <c r="D155" s="3">
        <v>0.0</v>
      </c>
      <c r="E155" s="3">
        <v>1.0</v>
      </c>
    </row>
    <row r="156" ht="15.75" customHeight="1">
      <c r="A156" s="3">
        <v>135.0</v>
      </c>
      <c r="B156" s="4" t="s">
        <v>163</v>
      </c>
      <c r="C156" s="3" t="s">
        <v>25</v>
      </c>
      <c r="D156" s="3">
        <v>0.0</v>
      </c>
      <c r="E156" s="3">
        <v>1.0</v>
      </c>
    </row>
    <row r="157" ht="15.75" customHeight="1">
      <c r="A157" s="3">
        <v>136.0</v>
      </c>
      <c r="B157" s="4" t="s">
        <v>164</v>
      </c>
      <c r="C157" s="3" t="s">
        <v>25</v>
      </c>
      <c r="D157" s="3">
        <v>0.0</v>
      </c>
      <c r="E157" s="3">
        <v>1.0</v>
      </c>
    </row>
    <row r="158" ht="15.75" customHeight="1">
      <c r="A158" s="3">
        <v>137.0</v>
      </c>
      <c r="B158" s="4" t="s">
        <v>165</v>
      </c>
      <c r="C158" s="3" t="s">
        <v>36</v>
      </c>
      <c r="D158" s="3">
        <v>0.0</v>
      </c>
      <c r="E158" s="3">
        <v>2.0</v>
      </c>
    </row>
    <row r="159" ht="15.75" customHeight="1">
      <c r="A159" s="3">
        <v>138.0</v>
      </c>
      <c r="B159" s="4" t="s">
        <v>166</v>
      </c>
      <c r="C159" s="3" t="s">
        <v>25</v>
      </c>
      <c r="D159" s="3">
        <v>0.0</v>
      </c>
      <c r="E159" s="3">
        <v>1.0</v>
      </c>
    </row>
    <row r="160" ht="15.75" customHeight="1">
      <c r="A160" s="3">
        <v>139.0</v>
      </c>
      <c r="B160" s="4" t="s">
        <v>167</v>
      </c>
      <c r="C160" s="3" t="s">
        <v>36</v>
      </c>
      <c r="D160" s="3">
        <v>0.0</v>
      </c>
      <c r="E160" s="3">
        <v>3.0</v>
      </c>
    </row>
    <row r="161" ht="15.75" customHeight="1">
      <c r="A161" s="3">
        <v>140.0</v>
      </c>
      <c r="B161" s="4" t="s">
        <v>168</v>
      </c>
      <c r="C161" s="3" t="s">
        <v>169</v>
      </c>
      <c r="D161" s="3">
        <v>1.0</v>
      </c>
      <c r="E161" s="3">
        <v>4.0</v>
      </c>
    </row>
    <row r="162" ht="15.75" customHeight="1">
      <c r="A162" s="3">
        <v>141.0</v>
      </c>
      <c r="B162" s="7" t="s">
        <v>170</v>
      </c>
      <c r="C162" s="7" t="s">
        <v>40</v>
      </c>
      <c r="D162" s="7" t="str">
        <f t="shared" ref="D162:E162" si="12">SUM(D150:D161)</f>
        <v>1</v>
      </c>
      <c r="E162" s="7" t="str">
        <f t="shared" si="12"/>
        <v>23</v>
      </c>
    </row>
    <row r="163" ht="15.75" customHeight="1">
      <c r="A163" s="5"/>
      <c r="B163" s="6" t="s">
        <v>171</v>
      </c>
      <c r="C163" s="5"/>
      <c r="D163" s="8"/>
      <c r="E163" s="8"/>
    </row>
    <row r="164" ht="15.75" customHeight="1">
      <c r="A164" s="3">
        <v>142.0</v>
      </c>
      <c r="B164" s="4" t="s">
        <v>172</v>
      </c>
      <c r="C164" s="3" t="s">
        <v>25</v>
      </c>
      <c r="D164" s="3">
        <v>0.0</v>
      </c>
      <c r="E164" s="3">
        <v>1.0</v>
      </c>
    </row>
    <row r="165" ht="15.75" customHeight="1">
      <c r="A165" s="3">
        <v>143.0</v>
      </c>
      <c r="B165" s="4" t="s">
        <v>173</v>
      </c>
      <c r="C165" s="3" t="s">
        <v>25</v>
      </c>
      <c r="D165" s="3">
        <v>0.0</v>
      </c>
      <c r="E165" s="3">
        <v>1.0</v>
      </c>
    </row>
    <row r="166" ht="15.75" customHeight="1">
      <c r="A166" s="3">
        <v>144.0</v>
      </c>
      <c r="B166" s="4" t="s">
        <v>174</v>
      </c>
      <c r="C166" s="3" t="s">
        <v>25</v>
      </c>
      <c r="D166" s="3">
        <v>0.0</v>
      </c>
      <c r="E166" s="3">
        <v>1.0</v>
      </c>
    </row>
    <row r="167" ht="15.75" customHeight="1">
      <c r="A167" s="3">
        <v>145.0</v>
      </c>
      <c r="B167" s="4" t="s">
        <v>175</v>
      </c>
      <c r="C167" s="3" t="s">
        <v>25</v>
      </c>
      <c r="D167" s="3">
        <v>0.0</v>
      </c>
      <c r="E167" s="3">
        <v>1.0</v>
      </c>
    </row>
    <row r="168" ht="15.75" customHeight="1">
      <c r="A168" s="3">
        <v>146.0</v>
      </c>
      <c r="B168" s="4" t="s">
        <v>176</v>
      </c>
      <c r="C168" s="3" t="s">
        <v>36</v>
      </c>
      <c r="D168" s="3">
        <v>0.0</v>
      </c>
      <c r="E168" s="3">
        <v>4.0</v>
      </c>
    </row>
    <row r="169" ht="15.75" customHeight="1">
      <c r="A169" s="3">
        <v>147.0</v>
      </c>
      <c r="B169" s="4" t="s">
        <v>177</v>
      </c>
      <c r="C169" s="3" t="s">
        <v>25</v>
      </c>
      <c r="D169" s="3">
        <v>0.0</v>
      </c>
      <c r="E169" s="3">
        <v>1.0</v>
      </c>
    </row>
    <row r="170" ht="15.75" customHeight="1">
      <c r="A170" s="3">
        <v>148.0</v>
      </c>
      <c r="B170" s="4" t="s">
        <v>178</v>
      </c>
      <c r="C170" s="3" t="s">
        <v>25</v>
      </c>
      <c r="D170" s="3">
        <v>0.0</v>
      </c>
      <c r="E170" s="3">
        <v>1.0</v>
      </c>
    </row>
    <row r="171" ht="15.75" customHeight="1">
      <c r="A171" s="3">
        <v>149.0</v>
      </c>
      <c r="B171" s="4" t="s">
        <v>179</v>
      </c>
      <c r="C171" s="3" t="s">
        <v>25</v>
      </c>
      <c r="D171" s="3">
        <v>0.0</v>
      </c>
      <c r="E171" s="3">
        <v>1.0</v>
      </c>
    </row>
    <row r="172" ht="15.75" customHeight="1">
      <c r="A172" s="3">
        <v>150.0</v>
      </c>
      <c r="B172" s="4" t="s">
        <v>180</v>
      </c>
      <c r="C172" s="3" t="s">
        <v>36</v>
      </c>
      <c r="D172" s="3">
        <v>0.0</v>
      </c>
      <c r="E172" s="3">
        <v>3.0</v>
      </c>
    </row>
    <row r="173" ht="15.75" customHeight="1">
      <c r="A173" s="3">
        <v>151.0</v>
      </c>
      <c r="B173" s="4" t="s">
        <v>181</v>
      </c>
      <c r="C173" s="3" t="s">
        <v>25</v>
      </c>
      <c r="D173" s="3">
        <v>0.0</v>
      </c>
      <c r="E173" s="3">
        <v>1.0</v>
      </c>
    </row>
    <row r="174" ht="15.75" customHeight="1">
      <c r="A174" s="3">
        <v>152.0</v>
      </c>
      <c r="B174" s="4" t="s">
        <v>182</v>
      </c>
      <c r="C174" s="3" t="s">
        <v>36</v>
      </c>
      <c r="D174" s="3">
        <v>0.0</v>
      </c>
      <c r="E174" s="3">
        <v>4.0</v>
      </c>
    </row>
    <row r="175" ht="15.75" customHeight="1">
      <c r="A175" s="3">
        <v>153.0</v>
      </c>
      <c r="B175" s="4" t="s">
        <v>183</v>
      </c>
      <c r="C175" s="3" t="s">
        <v>25</v>
      </c>
      <c r="D175" s="3">
        <v>0.0</v>
      </c>
      <c r="E175" s="3">
        <v>1.0</v>
      </c>
    </row>
    <row r="176" ht="15.75" customHeight="1">
      <c r="A176" s="3">
        <v>154.0</v>
      </c>
      <c r="B176" s="4" t="s">
        <v>184</v>
      </c>
      <c r="C176" s="3" t="s">
        <v>25</v>
      </c>
      <c r="D176" s="3">
        <v>0.0</v>
      </c>
      <c r="E176" s="3">
        <v>1.0</v>
      </c>
    </row>
    <row r="177" ht="15.75" customHeight="1">
      <c r="A177" s="3">
        <v>155.0</v>
      </c>
      <c r="B177" s="4" t="s">
        <v>185</v>
      </c>
      <c r="C177" s="3" t="s">
        <v>38</v>
      </c>
      <c r="D177" s="3">
        <v>0.0</v>
      </c>
      <c r="E177" s="3">
        <v>7.0</v>
      </c>
    </row>
    <row r="178" ht="15.75" customHeight="1">
      <c r="A178" s="3">
        <v>156.0</v>
      </c>
      <c r="B178" s="4" t="s">
        <v>186</v>
      </c>
      <c r="C178" s="3" t="s">
        <v>25</v>
      </c>
      <c r="D178" s="3">
        <v>0.0</v>
      </c>
      <c r="E178" s="3">
        <v>1.0</v>
      </c>
    </row>
    <row r="179" ht="15.75" customHeight="1">
      <c r="A179" s="3">
        <v>157.0</v>
      </c>
      <c r="B179" s="4" t="s">
        <v>187</v>
      </c>
      <c r="C179" s="3" t="s">
        <v>36</v>
      </c>
      <c r="D179" s="3">
        <v>0.0</v>
      </c>
      <c r="E179" s="3">
        <v>2.0</v>
      </c>
    </row>
    <row r="180" ht="15.75" customHeight="1">
      <c r="A180" s="3">
        <v>158.0</v>
      </c>
      <c r="B180" s="4" t="s">
        <v>188</v>
      </c>
      <c r="C180" s="3" t="s">
        <v>36</v>
      </c>
      <c r="D180" s="3">
        <v>0.0</v>
      </c>
      <c r="E180" s="3">
        <v>2.0</v>
      </c>
    </row>
    <row r="181" ht="15.75" customHeight="1">
      <c r="A181" s="3">
        <v>159.0</v>
      </c>
      <c r="B181" s="7" t="s">
        <v>189</v>
      </c>
      <c r="C181" s="7" t="s">
        <v>40</v>
      </c>
      <c r="D181" s="7" t="str">
        <f t="shared" ref="D181:E181" si="13">SUM(D164:D180)</f>
        <v>0</v>
      </c>
      <c r="E181" s="7" t="str">
        <f t="shared" si="13"/>
        <v>33</v>
      </c>
    </row>
    <row r="182" ht="15.75" customHeight="1">
      <c r="A182" s="5"/>
      <c r="B182" s="6" t="s">
        <v>190</v>
      </c>
      <c r="C182" s="5"/>
      <c r="D182" s="8"/>
      <c r="E182" s="8"/>
    </row>
    <row r="183" ht="15.75" customHeight="1">
      <c r="A183" s="3">
        <v>160.0</v>
      </c>
      <c r="B183" s="4" t="s">
        <v>191</v>
      </c>
      <c r="C183" s="3" t="s">
        <v>25</v>
      </c>
      <c r="D183" s="3">
        <v>0.0</v>
      </c>
      <c r="E183" s="3">
        <v>1.0</v>
      </c>
    </row>
    <row r="184" ht="15.75" customHeight="1">
      <c r="A184" s="3">
        <v>161.0</v>
      </c>
      <c r="B184" s="4" t="s">
        <v>192</v>
      </c>
      <c r="C184" s="3" t="s">
        <v>25</v>
      </c>
      <c r="D184" s="3">
        <v>0.0</v>
      </c>
      <c r="E184" s="3">
        <v>1.0</v>
      </c>
    </row>
    <row r="185" ht="15.75" customHeight="1">
      <c r="A185" s="3">
        <v>162.0</v>
      </c>
      <c r="B185" s="4" t="s">
        <v>193</v>
      </c>
      <c r="C185" s="3" t="s">
        <v>36</v>
      </c>
      <c r="D185" s="3">
        <v>1.0</v>
      </c>
      <c r="E185" s="3">
        <v>2.0</v>
      </c>
    </row>
    <row r="186" ht="15.75" customHeight="1">
      <c r="A186" s="3">
        <v>163.0</v>
      </c>
      <c r="B186" s="4" t="s">
        <v>194</v>
      </c>
      <c r="C186" s="3" t="s">
        <v>25</v>
      </c>
      <c r="D186" s="3">
        <v>0.0</v>
      </c>
      <c r="E186" s="3">
        <v>1.0</v>
      </c>
    </row>
    <row r="187" ht="15.75" customHeight="1">
      <c r="A187" s="3">
        <v>164.0</v>
      </c>
      <c r="B187" s="4" t="s">
        <v>195</v>
      </c>
      <c r="C187" s="3" t="s">
        <v>25</v>
      </c>
      <c r="D187" s="3">
        <v>-1.0</v>
      </c>
      <c r="E187" s="3">
        <v>1.0</v>
      </c>
    </row>
    <row r="188" ht="15.75" customHeight="1">
      <c r="A188" s="3">
        <v>165.0</v>
      </c>
      <c r="B188" s="4" t="s">
        <v>196</v>
      </c>
      <c r="C188" s="3" t="s">
        <v>25</v>
      </c>
      <c r="D188" s="3">
        <v>0.0</v>
      </c>
      <c r="E188" s="3">
        <v>1.0</v>
      </c>
    </row>
    <row r="189" ht="15.75" customHeight="1">
      <c r="A189" s="3">
        <v>166.0</v>
      </c>
      <c r="B189" s="4" t="s">
        <v>197</v>
      </c>
      <c r="C189" s="3" t="s">
        <v>25</v>
      </c>
      <c r="D189" s="3">
        <v>-1.0</v>
      </c>
      <c r="E189" s="3">
        <v>1.0</v>
      </c>
    </row>
    <row r="190" ht="15.75" customHeight="1">
      <c r="A190" s="3">
        <v>167.0</v>
      </c>
      <c r="B190" s="4" t="s">
        <v>198</v>
      </c>
      <c r="C190" s="3" t="s">
        <v>36</v>
      </c>
      <c r="D190" s="3">
        <v>1.0</v>
      </c>
      <c r="E190" s="3">
        <v>5.0</v>
      </c>
    </row>
    <row r="191" ht="15.75" customHeight="1">
      <c r="A191" s="3">
        <v>168.0</v>
      </c>
      <c r="B191" s="4" t="s">
        <v>199</v>
      </c>
      <c r="C191" s="3" t="s">
        <v>25</v>
      </c>
      <c r="D191" s="3">
        <v>0.0</v>
      </c>
      <c r="E191" s="3">
        <v>1.0</v>
      </c>
    </row>
    <row r="192" ht="15.75" customHeight="1">
      <c r="A192" s="3">
        <v>169.0</v>
      </c>
      <c r="B192" s="4" t="s">
        <v>200</v>
      </c>
      <c r="C192" s="3" t="s">
        <v>25</v>
      </c>
      <c r="D192" s="3">
        <v>0.0</v>
      </c>
      <c r="E192" s="3">
        <v>1.0</v>
      </c>
    </row>
    <row r="193" ht="15.75" customHeight="1">
      <c r="A193" s="3">
        <v>170.0</v>
      </c>
      <c r="B193" s="4" t="s">
        <v>201</v>
      </c>
      <c r="C193" s="3" t="s">
        <v>25</v>
      </c>
      <c r="D193" s="3">
        <v>0.0</v>
      </c>
      <c r="E193" s="3">
        <v>1.0</v>
      </c>
    </row>
    <row r="194" ht="15.75" customHeight="1">
      <c r="A194" s="3">
        <v>171.0</v>
      </c>
      <c r="B194" s="4" t="s">
        <v>202</v>
      </c>
      <c r="C194" s="3" t="s">
        <v>25</v>
      </c>
      <c r="D194" s="3">
        <v>0.0</v>
      </c>
      <c r="E194" s="3">
        <v>1.0</v>
      </c>
    </row>
    <row r="195" ht="15.75" customHeight="1">
      <c r="A195" s="3">
        <v>172.0</v>
      </c>
      <c r="B195" s="4" t="s">
        <v>203</v>
      </c>
      <c r="C195" s="3" t="s">
        <v>36</v>
      </c>
      <c r="D195" s="3">
        <v>0.0</v>
      </c>
      <c r="E195" s="3">
        <v>3.0</v>
      </c>
    </row>
    <row r="196" ht="15.75" customHeight="1">
      <c r="A196" s="3">
        <v>173.0</v>
      </c>
      <c r="B196" s="4" t="s">
        <v>204</v>
      </c>
      <c r="C196" s="3" t="s">
        <v>25</v>
      </c>
      <c r="D196" s="3">
        <v>0.0</v>
      </c>
      <c r="E196" s="3">
        <v>1.0</v>
      </c>
    </row>
    <row r="197" ht="15.75" customHeight="1">
      <c r="A197" s="3">
        <v>174.0</v>
      </c>
      <c r="B197" s="4" t="s">
        <v>205</v>
      </c>
      <c r="C197" s="3" t="s">
        <v>25</v>
      </c>
      <c r="D197" s="3">
        <v>0.0</v>
      </c>
      <c r="E197" s="3">
        <v>1.0</v>
      </c>
    </row>
    <row r="198" ht="15.75" customHeight="1">
      <c r="A198" s="3">
        <v>175.0</v>
      </c>
      <c r="B198" s="4" t="s">
        <v>206</v>
      </c>
      <c r="C198" s="3" t="s">
        <v>25</v>
      </c>
      <c r="D198" s="3">
        <v>0.0</v>
      </c>
      <c r="E198" s="3">
        <v>1.0</v>
      </c>
    </row>
    <row r="199" ht="15.75" customHeight="1">
      <c r="A199" s="3">
        <v>176.0</v>
      </c>
      <c r="B199" s="4" t="s">
        <v>207</v>
      </c>
      <c r="C199" s="3" t="s">
        <v>36</v>
      </c>
      <c r="D199" s="3">
        <v>0.0</v>
      </c>
      <c r="E199" s="3">
        <v>3.0</v>
      </c>
    </row>
    <row r="200" ht="15.75" customHeight="1">
      <c r="A200" s="3">
        <v>177.0</v>
      </c>
      <c r="B200" s="4" t="s">
        <v>208</v>
      </c>
      <c r="C200" s="3" t="s">
        <v>25</v>
      </c>
      <c r="D200" s="3">
        <v>0.0</v>
      </c>
      <c r="E200" s="3">
        <v>2.0</v>
      </c>
    </row>
    <row r="201" ht="15.75" customHeight="1">
      <c r="A201" s="3">
        <v>178.0</v>
      </c>
      <c r="B201" s="4" t="s">
        <v>209</v>
      </c>
      <c r="C201" s="3" t="s">
        <v>25</v>
      </c>
      <c r="D201" s="3">
        <v>0.0</v>
      </c>
      <c r="E201" s="3">
        <v>1.0</v>
      </c>
    </row>
    <row r="202" ht="15.75" customHeight="1">
      <c r="A202" s="3">
        <v>179.0</v>
      </c>
      <c r="B202" s="7" t="s">
        <v>210</v>
      </c>
      <c r="C202" s="7" t="s">
        <v>40</v>
      </c>
      <c r="D202" s="7" t="str">
        <f t="shared" ref="D202:E202" si="14">SUM(D183:D201)</f>
        <v>0</v>
      </c>
      <c r="E202" s="7" t="str">
        <f t="shared" si="14"/>
        <v>29</v>
      </c>
    </row>
    <row r="203" ht="15.75" customHeight="1">
      <c r="A203" s="5"/>
      <c r="B203" s="6" t="s">
        <v>211</v>
      </c>
      <c r="C203" s="5"/>
      <c r="D203" s="8"/>
      <c r="E203" s="8"/>
    </row>
    <row r="204" ht="15.75" customHeight="1">
      <c r="A204" s="3">
        <v>180.0</v>
      </c>
      <c r="B204" s="4" t="s">
        <v>212</v>
      </c>
      <c r="C204" s="3" t="s">
        <v>25</v>
      </c>
      <c r="D204" s="3">
        <v>0.0</v>
      </c>
      <c r="E204" s="3">
        <v>1.0</v>
      </c>
    </row>
    <row r="205" ht="15.75" customHeight="1">
      <c r="A205" s="3">
        <v>181.0</v>
      </c>
      <c r="B205" s="4" t="s">
        <v>213</v>
      </c>
      <c r="C205" s="3" t="s">
        <v>25</v>
      </c>
      <c r="D205" s="3">
        <v>0.0</v>
      </c>
      <c r="E205" s="3">
        <v>1.0</v>
      </c>
    </row>
    <row r="206" ht="15.75" customHeight="1">
      <c r="A206" s="3">
        <v>182.0</v>
      </c>
      <c r="B206" s="4" t="s">
        <v>214</v>
      </c>
      <c r="C206" s="3" t="s">
        <v>38</v>
      </c>
      <c r="D206" s="3">
        <v>0.0</v>
      </c>
      <c r="E206" s="3">
        <v>3.0</v>
      </c>
    </row>
    <row r="207" ht="15.75" customHeight="1">
      <c r="A207" s="3">
        <v>183.0</v>
      </c>
      <c r="B207" s="4" t="s">
        <v>215</v>
      </c>
      <c r="C207" s="3" t="s">
        <v>36</v>
      </c>
      <c r="D207" s="3">
        <v>0.0</v>
      </c>
      <c r="E207" s="3">
        <v>2.0</v>
      </c>
    </row>
    <row r="208" ht="15.75" customHeight="1">
      <c r="A208" s="3">
        <v>184.0</v>
      </c>
      <c r="B208" s="4" t="s">
        <v>216</v>
      </c>
      <c r="C208" s="3" t="s">
        <v>25</v>
      </c>
      <c r="D208" s="3">
        <v>0.0</v>
      </c>
      <c r="E208" s="3">
        <v>1.0</v>
      </c>
    </row>
    <row r="209" ht="15.75" customHeight="1">
      <c r="A209" s="3">
        <v>185.0</v>
      </c>
      <c r="B209" s="7" t="s">
        <v>217</v>
      </c>
      <c r="C209" s="7" t="s">
        <v>40</v>
      </c>
      <c r="D209" s="7" t="str">
        <f t="shared" ref="D209:E209" si="15">SUM(D204:D208)</f>
        <v>0</v>
      </c>
      <c r="E209" s="7" t="str">
        <f t="shared" si="15"/>
        <v>8</v>
      </c>
    </row>
    <row r="210" ht="15.75" customHeight="1">
      <c r="A210" s="5"/>
      <c r="B210" s="6" t="s">
        <v>218</v>
      </c>
      <c r="C210" s="5"/>
      <c r="D210" s="8"/>
      <c r="E210" s="8"/>
    </row>
    <row r="211" ht="15.75" customHeight="1">
      <c r="A211" s="3">
        <v>186.0</v>
      </c>
      <c r="B211" s="4" t="s">
        <v>219</v>
      </c>
      <c r="C211" s="3" t="s">
        <v>25</v>
      </c>
      <c r="D211" s="3">
        <v>0.0</v>
      </c>
      <c r="E211" s="3">
        <v>1.0</v>
      </c>
    </row>
    <row r="212" ht="15.75" customHeight="1">
      <c r="A212" s="3">
        <v>187.0</v>
      </c>
      <c r="B212" s="4" t="s">
        <v>220</v>
      </c>
      <c r="C212" s="3" t="s">
        <v>25</v>
      </c>
      <c r="D212" s="3">
        <v>0.0</v>
      </c>
      <c r="E212" s="3">
        <v>1.0</v>
      </c>
    </row>
    <row r="213" ht="15.75" customHeight="1">
      <c r="A213" s="3">
        <v>188.0</v>
      </c>
      <c r="B213" s="4" t="s">
        <v>221</v>
      </c>
      <c r="C213" s="3" t="s">
        <v>25</v>
      </c>
      <c r="D213" s="3">
        <v>0.0</v>
      </c>
      <c r="E213" s="3">
        <v>1.0</v>
      </c>
    </row>
    <row r="214" ht="15.75" customHeight="1">
      <c r="A214" s="3">
        <v>189.0</v>
      </c>
      <c r="B214" s="4" t="s">
        <v>222</v>
      </c>
      <c r="C214" s="3" t="s">
        <v>25</v>
      </c>
      <c r="D214" s="3">
        <v>0.0</v>
      </c>
      <c r="E214" s="3">
        <v>1.0</v>
      </c>
    </row>
    <row r="215" ht="15.75" customHeight="1">
      <c r="A215" s="3">
        <v>190.0</v>
      </c>
      <c r="B215" s="4" t="s">
        <v>223</v>
      </c>
      <c r="C215" s="3" t="s">
        <v>25</v>
      </c>
      <c r="D215" s="3">
        <v>0.0</v>
      </c>
      <c r="E215" s="3">
        <v>1.0</v>
      </c>
    </row>
    <row r="216" ht="15.75" customHeight="1">
      <c r="A216" s="3">
        <v>191.0</v>
      </c>
      <c r="B216" s="7" t="s">
        <v>224</v>
      </c>
      <c r="C216" s="7" t="s">
        <v>40</v>
      </c>
      <c r="D216" s="7" t="str">
        <f t="shared" ref="D216:E216" si="16">SUM(D211:D215)</f>
        <v>0</v>
      </c>
      <c r="E216" s="7" t="str">
        <f t="shared" si="16"/>
        <v>5</v>
      </c>
    </row>
    <row r="217" ht="15.75" customHeight="1">
      <c r="A217" s="5"/>
      <c r="B217" s="6" t="s">
        <v>225</v>
      </c>
      <c r="C217" s="5"/>
      <c r="D217" s="8"/>
      <c r="E217" s="8"/>
    </row>
    <row r="218" ht="15.75" customHeight="1">
      <c r="A218" s="3">
        <v>192.0</v>
      </c>
      <c r="B218" s="4" t="s">
        <v>226</v>
      </c>
      <c r="C218" s="3" t="s">
        <v>25</v>
      </c>
      <c r="D218" s="3">
        <v>0.0</v>
      </c>
      <c r="E218" s="3">
        <v>1.0</v>
      </c>
    </row>
    <row r="219" ht="15.75" customHeight="1">
      <c r="A219" s="3">
        <v>193.0</v>
      </c>
      <c r="B219" s="4" t="s">
        <v>227</v>
      </c>
      <c r="C219" s="3" t="s">
        <v>36</v>
      </c>
      <c r="D219" s="3">
        <v>0.0</v>
      </c>
      <c r="E219" s="3">
        <v>3.0</v>
      </c>
    </row>
    <row r="220" ht="15.75" customHeight="1">
      <c r="A220" s="3">
        <v>194.0</v>
      </c>
      <c r="B220" s="4" t="s">
        <v>228</v>
      </c>
      <c r="C220" s="3" t="s">
        <v>25</v>
      </c>
      <c r="D220" s="3">
        <v>0.0</v>
      </c>
      <c r="E220" s="3">
        <v>2.0</v>
      </c>
    </row>
    <row r="221" ht="15.75" customHeight="1">
      <c r="A221" s="3">
        <v>195.0</v>
      </c>
      <c r="B221" s="4" t="s">
        <v>229</v>
      </c>
      <c r="C221" s="3" t="s">
        <v>25</v>
      </c>
      <c r="D221" s="3">
        <v>-1.0</v>
      </c>
      <c r="E221" s="3">
        <v>1.0</v>
      </c>
    </row>
    <row r="222" ht="15.75" customHeight="1">
      <c r="A222" s="3">
        <v>196.0</v>
      </c>
      <c r="B222" s="4" t="s">
        <v>230</v>
      </c>
      <c r="C222" s="3" t="s">
        <v>25</v>
      </c>
      <c r="D222" s="3">
        <v>0.0</v>
      </c>
      <c r="E222" s="3">
        <v>1.0</v>
      </c>
    </row>
    <row r="223" ht="15.75" customHeight="1">
      <c r="A223" s="3">
        <v>197.0</v>
      </c>
      <c r="B223" s="4" t="s">
        <v>231</v>
      </c>
      <c r="C223" s="3" t="s">
        <v>25</v>
      </c>
      <c r="D223" s="3">
        <v>0.0</v>
      </c>
      <c r="E223" s="3">
        <v>1.0</v>
      </c>
    </row>
    <row r="224" ht="15.75" customHeight="1">
      <c r="A224" s="3">
        <v>198.0</v>
      </c>
      <c r="B224" s="4" t="s">
        <v>232</v>
      </c>
      <c r="C224" s="3" t="s">
        <v>25</v>
      </c>
      <c r="D224" s="3">
        <v>0.0</v>
      </c>
      <c r="E224" s="3">
        <v>1.0</v>
      </c>
    </row>
    <row r="225" ht="15.75" customHeight="1">
      <c r="A225" s="3">
        <v>199.0</v>
      </c>
      <c r="B225" s="4" t="s">
        <v>233</v>
      </c>
      <c r="C225" s="3" t="s">
        <v>25</v>
      </c>
      <c r="D225" s="3">
        <v>-1.0</v>
      </c>
      <c r="E225" s="3">
        <v>1.0</v>
      </c>
    </row>
    <row r="226" ht="15.75" customHeight="1">
      <c r="A226" s="3">
        <v>200.0</v>
      </c>
      <c r="B226" s="4" t="s">
        <v>234</v>
      </c>
      <c r="C226" s="3" t="s">
        <v>36</v>
      </c>
      <c r="D226" s="3">
        <v>0.0</v>
      </c>
      <c r="E226" s="3">
        <v>5.0</v>
      </c>
    </row>
    <row r="227" ht="15.75" customHeight="1">
      <c r="A227" s="3">
        <v>201.0</v>
      </c>
      <c r="B227" s="4" t="s">
        <v>235</v>
      </c>
      <c r="C227" s="3" t="s">
        <v>25</v>
      </c>
      <c r="D227" s="3">
        <v>0.0</v>
      </c>
      <c r="E227" s="3">
        <v>1.0</v>
      </c>
    </row>
    <row r="228" ht="15.75" customHeight="1">
      <c r="A228" s="3">
        <v>202.0</v>
      </c>
      <c r="B228" s="4" t="s">
        <v>236</v>
      </c>
      <c r="C228" s="3" t="s">
        <v>25</v>
      </c>
      <c r="D228" s="3">
        <v>0.0</v>
      </c>
      <c r="E228" s="3">
        <v>1.0</v>
      </c>
    </row>
    <row r="229" ht="15.75" customHeight="1">
      <c r="A229" s="3">
        <v>203.0</v>
      </c>
      <c r="B229" s="4" t="s">
        <v>237</v>
      </c>
      <c r="C229" s="3" t="s">
        <v>25</v>
      </c>
      <c r="D229" s="3">
        <v>0.0</v>
      </c>
      <c r="E229" s="3">
        <v>1.0</v>
      </c>
    </row>
    <row r="230" ht="15.75" customHeight="1">
      <c r="A230" s="3">
        <v>204.0</v>
      </c>
      <c r="B230" s="4" t="s">
        <v>238</v>
      </c>
      <c r="C230" s="3" t="s">
        <v>25</v>
      </c>
      <c r="D230" s="3">
        <v>0.0</v>
      </c>
      <c r="E230" s="3">
        <v>1.0</v>
      </c>
    </row>
    <row r="231" ht="15.75" customHeight="1">
      <c r="A231" s="3">
        <v>205.0</v>
      </c>
      <c r="B231" s="4" t="s">
        <v>239</v>
      </c>
      <c r="C231" s="3" t="s">
        <v>25</v>
      </c>
      <c r="D231" s="3">
        <v>0.0</v>
      </c>
      <c r="E231" s="3">
        <v>2.0</v>
      </c>
    </row>
    <row r="232" ht="15.75" customHeight="1">
      <c r="A232" s="3">
        <v>206.0</v>
      </c>
      <c r="B232" s="4" t="s">
        <v>240</v>
      </c>
      <c r="C232" s="3" t="s">
        <v>36</v>
      </c>
      <c r="D232" s="3">
        <v>0.0</v>
      </c>
      <c r="E232" s="3">
        <v>3.0</v>
      </c>
    </row>
    <row r="233" ht="15.75" customHeight="1">
      <c r="A233" s="3">
        <v>207.0</v>
      </c>
      <c r="B233" s="4" t="s">
        <v>241</v>
      </c>
      <c r="C233" s="3" t="s">
        <v>25</v>
      </c>
      <c r="D233" s="3">
        <v>0.0</v>
      </c>
      <c r="E233" s="3">
        <v>1.0</v>
      </c>
    </row>
    <row r="234" ht="15.75" customHeight="1">
      <c r="A234" s="3">
        <v>208.0</v>
      </c>
      <c r="B234" s="7" t="s">
        <v>242</v>
      </c>
      <c r="C234" s="7" t="s">
        <v>40</v>
      </c>
      <c r="D234" s="7" t="str">
        <f t="shared" ref="D234:E234" si="17">SUM(D218:D233)</f>
        <v>-2</v>
      </c>
      <c r="E234" s="7" t="str">
        <f t="shared" si="17"/>
        <v>26</v>
      </c>
    </row>
    <row r="235" ht="15.75" customHeight="1">
      <c r="A235" s="5"/>
      <c r="B235" s="6" t="s">
        <v>243</v>
      </c>
      <c r="C235" s="5"/>
      <c r="D235" s="8"/>
      <c r="E235" s="8"/>
    </row>
    <row r="236" ht="15.75" customHeight="1">
      <c r="A236" s="3">
        <v>209.0</v>
      </c>
      <c r="B236" s="4" t="s">
        <v>244</v>
      </c>
      <c r="C236" s="3" t="s">
        <v>25</v>
      </c>
      <c r="D236" s="3">
        <v>-1.0</v>
      </c>
      <c r="E236" s="3">
        <v>1.0</v>
      </c>
    </row>
    <row r="237" ht="15.75" customHeight="1">
      <c r="A237" s="3">
        <v>210.0</v>
      </c>
      <c r="B237" s="4" t="s">
        <v>245</v>
      </c>
      <c r="C237" s="3" t="s">
        <v>38</v>
      </c>
      <c r="D237" s="3">
        <v>-4.0</v>
      </c>
      <c r="E237" s="3">
        <v>1.0</v>
      </c>
    </row>
    <row r="238" ht="15.75" customHeight="1">
      <c r="A238" s="3">
        <v>211.0</v>
      </c>
      <c r="B238" s="4" t="s">
        <v>246</v>
      </c>
      <c r="C238" s="3" t="s">
        <v>25</v>
      </c>
      <c r="D238" s="3">
        <v>-1.0</v>
      </c>
      <c r="E238" s="3">
        <v>1.0</v>
      </c>
    </row>
    <row r="239" ht="15.75" customHeight="1">
      <c r="A239" s="3">
        <v>212.0</v>
      </c>
      <c r="B239" s="4" t="s">
        <v>247</v>
      </c>
      <c r="C239" s="3" t="s">
        <v>25</v>
      </c>
      <c r="D239" s="3">
        <v>-1.0</v>
      </c>
      <c r="E239" s="3">
        <v>1.0</v>
      </c>
    </row>
    <row r="240" ht="15.75" customHeight="1">
      <c r="A240" s="3">
        <v>213.0</v>
      </c>
      <c r="B240" s="4" t="s">
        <v>248</v>
      </c>
      <c r="C240" s="3" t="s">
        <v>25</v>
      </c>
      <c r="D240" s="3">
        <v>0.0</v>
      </c>
      <c r="E240" s="3">
        <v>1.0</v>
      </c>
    </row>
    <row r="241" ht="15.75" customHeight="1">
      <c r="A241" s="3">
        <v>214.0</v>
      </c>
      <c r="B241" s="4" t="s">
        <v>249</v>
      </c>
      <c r="C241" s="3" t="s">
        <v>25</v>
      </c>
      <c r="D241" s="3">
        <v>0.0</v>
      </c>
      <c r="E241" s="3">
        <v>1.0</v>
      </c>
    </row>
    <row r="242" ht="15.75" customHeight="1">
      <c r="A242" s="3">
        <v>215.0</v>
      </c>
      <c r="B242" s="4" t="s">
        <v>250</v>
      </c>
      <c r="C242" s="3" t="s">
        <v>25</v>
      </c>
      <c r="D242" s="3">
        <v>0.0</v>
      </c>
      <c r="E242" s="3">
        <v>1.0</v>
      </c>
    </row>
    <row r="243" ht="15.75" customHeight="1">
      <c r="A243" s="3">
        <v>216.0</v>
      </c>
      <c r="B243" s="4" t="s">
        <v>251</v>
      </c>
      <c r="C243" s="3" t="s">
        <v>25</v>
      </c>
      <c r="D243" s="3">
        <v>0.0</v>
      </c>
      <c r="E243" s="3">
        <v>1.0</v>
      </c>
    </row>
    <row r="244" ht="15.75" customHeight="1">
      <c r="A244" s="3">
        <v>217.0</v>
      </c>
      <c r="B244" s="4" t="s">
        <v>252</v>
      </c>
      <c r="C244" s="3" t="s">
        <v>36</v>
      </c>
      <c r="D244" s="3">
        <v>1.0</v>
      </c>
      <c r="E244" s="3">
        <v>3.0</v>
      </c>
    </row>
    <row r="245" ht="15.75" customHeight="1">
      <c r="A245" s="3">
        <v>218.0</v>
      </c>
      <c r="B245" s="4" t="s">
        <v>253</v>
      </c>
      <c r="C245" s="3" t="s">
        <v>25</v>
      </c>
      <c r="D245" s="3">
        <v>0.0</v>
      </c>
      <c r="E245" s="3">
        <v>1.0</v>
      </c>
    </row>
    <row r="246" ht="15.75" customHeight="1">
      <c r="A246" s="3">
        <v>219.0</v>
      </c>
      <c r="B246" s="4" t="s">
        <v>254</v>
      </c>
      <c r="C246" s="3" t="s">
        <v>25</v>
      </c>
      <c r="D246" s="3">
        <v>0.0</v>
      </c>
      <c r="E246" s="3">
        <v>1.0</v>
      </c>
    </row>
    <row r="247" ht="15.75" customHeight="1">
      <c r="A247" s="3">
        <v>220.0</v>
      </c>
      <c r="B247" s="4" t="s">
        <v>255</v>
      </c>
      <c r="C247" s="3" t="s">
        <v>25</v>
      </c>
      <c r="D247" s="3">
        <v>0.0</v>
      </c>
      <c r="E247" s="3">
        <v>1.0</v>
      </c>
    </row>
    <row r="248" ht="15.75" customHeight="1">
      <c r="A248" s="3">
        <v>221.0</v>
      </c>
      <c r="B248" s="4" t="s">
        <v>256</v>
      </c>
      <c r="C248" s="3" t="s">
        <v>36</v>
      </c>
      <c r="D248" s="3">
        <v>0.0</v>
      </c>
      <c r="E248" s="3">
        <v>3.0</v>
      </c>
    </row>
    <row r="249" ht="15.75" customHeight="1">
      <c r="A249" s="3">
        <v>222.0</v>
      </c>
      <c r="B249" s="7" t="s">
        <v>257</v>
      </c>
      <c r="C249" s="7" t="s">
        <v>40</v>
      </c>
      <c r="D249" s="7" t="str">
        <f t="shared" ref="D249:E249" si="18">SUM(D236:D248)</f>
        <v>-6</v>
      </c>
      <c r="E249" s="7" t="str">
        <f t="shared" si="18"/>
        <v>17</v>
      </c>
    </row>
    <row r="250" ht="15.75" customHeight="1">
      <c r="A250" s="5"/>
      <c r="B250" s="6" t="s">
        <v>258</v>
      </c>
      <c r="C250" s="5"/>
      <c r="D250" s="8"/>
      <c r="E250" s="8"/>
    </row>
    <row r="251" ht="15.75" customHeight="1">
      <c r="A251" s="3">
        <v>223.0</v>
      </c>
      <c r="B251" s="4" t="s">
        <v>259</v>
      </c>
      <c r="C251" s="3" t="s">
        <v>38</v>
      </c>
      <c r="D251" s="3">
        <v>-5.0</v>
      </c>
      <c r="E251" s="3">
        <v>0.0</v>
      </c>
    </row>
    <row r="252" ht="15.75" customHeight="1">
      <c r="A252" s="3">
        <v>224.0</v>
      </c>
      <c r="B252" s="4" t="s">
        <v>260</v>
      </c>
      <c r="C252" s="3" t="s">
        <v>38</v>
      </c>
      <c r="D252" s="3">
        <v>-5.0</v>
      </c>
      <c r="E252" s="3">
        <v>0.0</v>
      </c>
    </row>
    <row r="253" ht="15.75" customHeight="1">
      <c r="A253" s="3">
        <v>225.0</v>
      </c>
      <c r="B253" s="4" t="s">
        <v>261</v>
      </c>
      <c r="C253" s="3" t="s">
        <v>25</v>
      </c>
      <c r="D253" s="3">
        <v>0.0</v>
      </c>
      <c r="E253" s="3">
        <v>1.0</v>
      </c>
    </row>
    <row r="254" ht="15.75" customHeight="1">
      <c r="A254" s="3">
        <v>226.0</v>
      </c>
      <c r="B254" s="4" t="s">
        <v>262</v>
      </c>
      <c r="C254" s="3" t="s">
        <v>25</v>
      </c>
      <c r="D254" s="3">
        <v>0.0</v>
      </c>
      <c r="E254" s="3">
        <v>1.0</v>
      </c>
    </row>
    <row r="255" ht="15.75" customHeight="1">
      <c r="A255" s="3">
        <v>227.0</v>
      </c>
      <c r="B255" s="4" t="s">
        <v>263</v>
      </c>
      <c r="C255" s="3" t="s">
        <v>36</v>
      </c>
      <c r="D255" s="3">
        <v>0.0</v>
      </c>
      <c r="E255" s="3">
        <v>10.0</v>
      </c>
    </row>
    <row r="256" ht="15.75" customHeight="1">
      <c r="A256" s="3">
        <v>228.0</v>
      </c>
      <c r="B256" s="4" t="s">
        <v>264</v>
      </c>
      <c r="C256" s="3" t="s">
        <v>25</v>
      </c>
      <c r="D256" s="3">
        <v>-1.0</v>
      </c>
      <c r="E256" s="3">
        <v>1.0</v>
      </c>
    </row>
    <row r="257" ht="15.75" customHeight="1">
      <c r="A257" s="3">
        <v>229.0</v>
      </c>
      <c r="B257" s="4" t="s">
        <v>265</v>
      </c>
      <c r="C257" s="3" t="s">
        <v>25</v>
      </c>
      <c r="D257" s="3">
        <v>0.0</v>
      </c>
      <c r="E257" s="3">
        <v>1.0</v>
      </c>
    </row>
    <row r="258" ht="15.75" customHeight="1">
      <c r="A258" s="3">
        <v>230.0</v>
      </c>
      <c r="B258" s="7" t="s">
        <v>266</v>
      </c>
      <c r="C258" s="7" t="s">
        <v>40</v>
      </c>
      <c r="D258" s="7" t="str">
        <f t="shared" ref="D258:E258" si="19">SUM(D251:D257)</f>
        <v>-11</v>
      </c>
      <c r="E258" s="7" t="str">
        <f t="shared" si="19"/>
        <v>14</v>
      </c>
    </row>
    <row r="259" ht="15.75" customHeight="1">
      <c r="A259" s="3"/>
      <c r="B259" s="11"/>
      <c r="C259" s="3"/>
      <c r="D259" t="str">
        <f t="shared" ref="D259:E259" si="20">SUM(D258,D249,D234,D216,D209,D202,D181,D162,D148,D137,D121,D113,D103,D95)</f>
        <v>-6</v>
      </c>
      <c r="E259" t="str">
        <f t="shared" si="20"/>
        <v>292</v>
      </c>
    </row>
  </sheetData>
  <autoFilter ref="$A$1:$E$25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hidden="1" min="2" max="2" width="10.71"/>
    <col customWidth="1" hidden="1" min="3" max="3" width="10.57"/>
    <col customWidth="1" min="4" max="5" width="11.71"/>
    <col customWidth="1" min="6" max="6" width="8.86"/>
    <col customWidth="1" min="7" max="11" width="8.71"/>
  </cols>
  <sheetData>
    <row r="1" ht="15.75" customHeight="1">
      <c r="B1" s="12" t="s">
        <v>267</v>
      </c>
      <c r="C1" s="12" t="s">
        <v>268</v>
      </c>
      <c r="D1" s="12" t="s">
        <v>269</v>
      </c>
      <c r="E1" s="12" t="s">
        <v>270</v>
      </c>
      <c r="F1" s="1" t="s">
        <v>3</v>
      </c>
      <c r="G1" s="1" t="s">
        <v>271</v>
      </c>
      <c r="H1" s="1" t="s">
        <v>272</v>
      </c>
    </row>
    <row r="2" ht="15.75" customHeight="1">
      <c r="A2" s="13" t="s">
        <v>273</v>
      </c>
      <c r="B2" s="14" t="str">
        <f t="shared" ref="B2:B6" si="1">D2</f>
        <v>5</v>
      </c>
      <c r="C2" s="14" t="str">
        <f t="shared" ref="C2:C6" si="2">IF(E2&gt;B2,E2,"Error")</f>
        <v>10</v>
      </c>
      <c r="D2" s="15">
        <v>5.0</v>
      </c>
      <c r="E2" s="15">
        <v>10.0</v>
      </c>
      <c r="F2" s="16" t="str">
        <f t="shared" ref="F2:F6" si="3">"0" &amp; " to " &amp; B2</f>
        <v>0 to 5</v>
      </c>
      <c r="G2" s="16" t="str">
        <f t="shared" ref="G2:G6" si="4">(B2+1) &amp; " to " &amp;C2</f>
        <v>6 to 10</v>
      </c>
      <c r="H2" s="16" t="str">
        <f t="shared" ref="H2:H6" si="5">"&gt; " &amp;(C2)+1</f>
        <v>&gt; 11</v>
      </c>
    </row>
    <row r="3" ht="15.75" customHeight="1">
      <c r="A3" s="13" t="s">
        <v>274</v>
      </c>
      <c r="B3" s="14" t="str">
        <f t="shared" si="1"/>
        <v>9</v>
      </c>
      <c r="C3" s="14" t="str">
        <f t="shared" si="2"/>
        <v>19</v>
      </c>
      <c r="D3" s="15">
        <v>9.0</v>
      </c>
      <c r="E3" s="15">
        <v>19.0</v>
      </c>
      <c r="F3" s="16" t="str">
        <f t="shared" si="3"/>
        <v>0 to 9</v>
      </c>
      <c r="G3" s="16" t="str">
        <f t="shared" si="4"/>
        <v>10 to 19</v>
      </c>
      <c r="H3" s="16" t="str">
        <f t="shared" si="5"/>
        <v>&gt; 20</v>
      </c>
    </row>
    <row r="4" ht="15.75" customHeight="1">
      <c r="A4" s="13" t="s">
        <v>275</v>
      </c>
      <c r="B4" s="14" t="str">
        <f t="shared" si="1"/>
        <v>12</v>
      </c>
      <c r="C4" s="14" t="str">
        <f t="shared" si="2"/>
        <v>21</v>
      </c>
      <c r="D4" s="15">
        <v>12.0</v>
      </c>
      <c r="E4" s="15">
        <v>21.0</v>
      </c>
      <c r="F4" s="16" t="str">
        <f t="shared" si="3"/>
        <v>0 to 12</v>
      </c>
      <c r="G4" s="16" t="str">
        <f t="shared" si="4"/>
        <v>13 to 21</v>
      </c>
      <c r="H4" s="16" t="str">
        <f t="shared" si="5"/>
        <v>&gt; 22</v>
      </c>
    </row>
    <row r="5" ht="15.75" customHeight="1">
      <c r="A5" s="13" t="s">
        <v>276</v>
      </c>
      <c r="B5" s="14" t="str">
        <f t="shared" si="1"/>
        <v>16</v>
      </c>
      <c r="C5" s="14" t="str">
        <f t="shared" si="2"/>
        <v>24</v>
      </c>
      <c r="D5" s="15">
        <v>16.0</v>
      </c>
      <c r="E5" s="15">
        <v>24.0</v>
      </c>
      <c r="F5" s="16" t="str">
        <f t="shared" si="3"/>
        <v>0 to 16</v>
      </c>
      <c r="G5" s="16" t="str">
        <f t="shared" si="4"/>
        <v>17 to 24</v>
      </c>
      <c r="H5" s="16" t="str">
        <f t="shared" si="5"/>
        <v>&gt; 25</v>
      </c>
    </row>
    <row r="6" ht="15.75" customHeight="1">
      <c r="A6" s="13" t="s">
        <v>277</v>
      </c>
      <c r="B6" s="14" t="str">
        <f t="shared" si="1"/>
        <v>19</v>
      </c>
      <c r="C6" s="14" t="str">
        <f t="shared" si="2"/>
        <v>43</v>
      </c>
      <c r="D6" s="15">
        <v>19.0</v>
      </c>
      <c r="E6" s="15">
        <v>43.0</v>
      </c>
      <c r="F6" s="16" t="str">
        <f t="shared" si="3"/>
        <v>0 to 19</v>
      </c>
      <c r="G6" s="16" t="str">
        <f t="shared" si="4"/>
        <v>20 to 43</v>
      </c>
      <c r="H6" s="16" t="str">
        <f t="shared" si="5"/>
        <v>&gt; 44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31.0"/>
    <col customWidth="1" min="4" max="4" width="53.71"/>
    <col customWidth="1" min="5" max="11" width="8.71"/>
  </cols>
  <sheetData>
    <row r="1" ht="15.75" customHeight="1">
      <c r="A1" s="17" t="s">
        <v>278</v>
      </c>
      <c r="B1" s="17" t="s">
        <v>3</v>
      </c>
      <c r="C1" s="17" t="s">
        <v>271</v>
      </c>
      <c r="D1" s="17" t="s">
        <v>4</v>
      </c>
    </row>
    <row r="2" ht="15.75" customHeight="1">
      <c r="A2" s="18">
        <v>1.0</v>
      </c>
      <c r="B2" s="19" t="s">
        <v>279</v>
      </c>
      <c r="C2" s="19" t="s">
        <v>280</v>
      </c>
      <c r="D2" s="19" t="s">
        <v>281</v>
      </c>
    </row>
    <row r="3" ht="15.75" customHeight="1">
      <c r="A3" s="18">
        <v>2.0</v>
      </c>
      <c r="B3" s="19" t="s">
        <v>282</v>
      </c>
      <c r="C3" s="19" t="s">
        <v>283</v>
      </c>
      <c r="D3" s="19" t="s">
        <v>284</v>
      </c>
    </row>
    <row r="4" ht="15.75" customHeight="1">
      <c r="A4" s="18">
        <v>3.0</v>
      </c>
      <c r="B4" s="19" t="s">
        <v>285</v>
      </c>
      <c r="C4" s="19" t="s">
        <v>286</v>
      </c>
      <c r="D4" s="19" t="s">
        <v>287</v>
      </c>
    </row>
    <row r="5" ht="15.75" customHeight="1">
      <c r="A5" s="18">
        <v>4.0</v>
      </c>
      <c r="B5" s="19" t="s">
        <v>288</v>
      </c>
      <c r="C5" s="19" t="s">
        <v>289</v>
      </c>
      <c r="D5" s="19" t="s">
        <v>290</v>
      </c>
    </row>
    <row r="6" ht="15.75" customHeight="1">
      <c r="A6" s="18">
        <v>5.0</v>
      </c>
      <c r="B6" s="19" t="s">
        <v>291</v>
      </c>
      <c r="C6" s="19" t="s">
        <v>292</v>
      </c>
      <c r="D6" s="19" t="s">
        <v>293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Questions</vt:lpstr>
      <vt:lpstr>BHC Report Range Definition</vt:lpstr>
      <vt:lpstr>For Access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2019-10-20T20:37:50Z</dcterms:created>
  <dc:creator>David Olivo</dc:creator>
  <cp:lastModifiedBy>Microsoft Office User</cp:lastModifiedBy>
  <dcterms:modified xsi:type="dcterms:W3CDTF">2019-10-26T14:23:22Z</dcterms:modified>
</cp:coreProperties>
</file>